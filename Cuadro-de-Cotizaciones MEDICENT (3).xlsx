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acho\Downloads\"/>
    </mc:Choice>
  </mc:AlternateContent>
  <xr:revisionPtr revIDLastSave="0" documentId="13_ncr:1_{30705226-C5F7-4589-A891-5A23AAFA011D}" xr6:coauthVersionLast="47" xr6:coauthVersionMax="47" xr10:uidLastSave="{00000000-0000-0000-0000-000000000000}"/>
  <bookViews>
    <workbookView xWindow="-108" yWindow="-108" windowWidth="23256" windowHeight="12456" firstSheet="5" activeTab="6" xr2:uid="{00000000-000D-0000-FFFF-FFFF00000000}"/>
  </bookViews>
  <sheets>
    <sheet name="Torre admin" sheetId="1" r:id="rId1"/>
    <sheet name="Monitor Admin" sheetId="2" r:id="rId2"/>
    <sheet name="Disco Sólido Admin" sheetId="3" r:id="rId3"/>
    <sheet name="Disco duro interno Admin" sheetId="4" r:id="rId4"/>
    <sheet name="RAM Admin" sheetId="6" r:id="rId5"/>
    <sheet name="Teclado Admin" sheetId="7" r:id="rId6"/>
    <sheet name="Mouse Admin"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5" roundtripDataChecksum="dple+E52BW4gQwl7jwml3EEemBchMV8NJM0dmOZrTAc="/>
    </ext>
  </extLst>
</workbook>
</file>

<file path=xl/calcChain.xml><?xml version="1.0" encoding="utf-8"?>
<calcChain xmlns="http://schemas.openxmlformats.org/spreadsheetml/2006/main">
  <c r="F9" i="8" l="1"/>
  <c r="G9" i="8" s="1"/>
  <c r="H9" i="8" s="1"/>
  <c r="F10" i="8"/>
  <c r="G10" i="8"/>
  <c r="H10" i="8" s="1"/>
  <c r="F8" i="8"/>
  <c r="G8" i="8" s="1"/>
  <c r="H8" i="8" s="1"/>
  <c r="F10" i="7"/>
  <c r="G10" i="7"/>
  <c r="H10" i="7" s="1"/>
  <c r="F9" i="7"/>
  <c r="G9" i="7" s="1"/>
  <c r="H9" i="7" s="1"/>
  <c r="F8" i="7"/>
  <c r="G8" i="7" s="1"/>
  <c r="H8" i="7" s="1"/>
  <c r="F9" i="6"/>
  <c r="G9" i="6" s="1"/>
  <c r="H9" i="6" s="1"/>
  <c r="F10" i="6"/>
  <c r="G10" i="6" s="1"/>
  <c r="H10" i="6" s="1"/>
  <c r="F8" i="6"/>
  <c r="G8" i="6" s="1"/>
  <c r="H8" i="6" s="1"/>
  <c r="G9" i="4"/>
  <c r="H9" i="4" s="1"/>
  <c r="F10" i="4"/>
  <c r="G10" i="4" s="1"/>
  <c r="H10" i="4" s="1"/>
  <c r="F8" i="4"/>
  <c r="G8" i="4" s="1"/>
  <c r="H8" i="4" s="1"/>
  <c r="G9" i="3"/>
  <c r="H9" i="3" s="1"/>
  <c r="G10" i="3"/>
  <c r="H10" i="3" s="1"/>
  <c r="G8" i="3"/>
  <c r="H8" i="3" s="1"/>
  <c r="G10" i="2"/>
  <c r="H10" i="2" s="1"/>
  <c r="G9" i="2"/>
  <c r="H9" i="2" s="1"/>
  <c r="G8" i="2"/>
  <c r="H8" i="2" s="1"/>
  <c r="G9" i="1"/>
  <c r="H9" i="1" s="1"/>
  <c r="G10" i="1"/>
  <c r="H10" i="1" s="1"/>
  <c r="G8" i="1"/>
  <c r="H8" i="1" s="1"/>
</calcChain>
</file>

<file path=xl/sharedStrings.xml><?xml version="1.0" encoding="utf-8"?>
<sst xmlns="http://schemas.openxmlformats.org/spreadsheetml/2006/main" count="200" uniqueCount="95">
  <si>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</si>
  <si>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</si>
  <si>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</si>
  <si>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</si>
  <si>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</si>
  <si>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</si>
  <si>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</si>
  <si>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</si>
  <si>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</si>
  <si>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</si>
  <si>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</si>
  <si>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</si>
  <si>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</si>
  <si>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CONTADO</t>
  </si>
  <si>
    <t xml:space="preserve">Nº2 </t>
  </si>
  <si>
    <t>Nº 3</t>
  </si>
  <si>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</si>
  <si>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t>Empresa</t>
    </r>
    <r>
      <rPr>
        <i/>
        <sz val="10"/>
        <color theme="1"/>
        <rFont val="Arial"/>
        <family val="2"/>
        <scheme val="major"/>
      </rPr>
      <t xml:space="preserve">
(Nombre fiscal de la empresa)</t>
    </r>
  </si>
  <si>
    <r>
      <t>Nº de CUIT, Dirección, Teléfono</t>
    </r>
    <r>
      <rPr>
        <i/>
        <sz val="10"/>
        <color theme="1"/>
        <rFont val="Arial"/>
        <family val="2"/>
        <scheme val="major"/>
      </rPr>
      <t xml:space="preserve">
(Datos de la empresa)</t>
    </r>
  </si>
  <si>
    <r>
      <t>Descripción del
bien/ servicio (b)</t>
    </r>
    <r>
      <rPr>
        <i/>
        <sz val="10"/>
        <color theme="1"/>
        <rFont val="Arial"/>
        <family val="2"/>
        <scheme val="major"/>
      </rPr>
      <t xml:space="preserve">
Características de los bienes/ servicios</t>
    </r>
  </si>
  <si>
    <r>
      <t xml:space="preserve">Importe Unitario
</t>
    </r>
    <r>
      <rPr>
        <i/>
        <sz val="10"/>
        <color theme="1"/>
        <rFont val="Arial"/>
        <family val="2"/>
        <scheme val="major"/>
      </rPr>
      <t>(moneda nacional)</t>
    </r>
  </si>
  <si>
    <r>
      <t xml:space="preserve">Importe Total
 IVA incluido
</t>
    </r>
    <r>
      <rPr>
        <i/>
        <u/>
        <sz val="10"/>
        <color theme="1"/>
        <rFont val="Arial"/>
        <family val="2"/>
        <scheme val="major"/>
      </rPr>
      <t>(moneda nacional)</t>
    </r>
  </si>
  <si>
    <r>
      <t xml:space="preserve">Importe Total
</t>
    </r>
    <r>
      <rPr>
        <i/>
        <sz val="10"/>
        <color theme="1"/>
        <rFont val="Arial"/>
        <family val="2"/>
        <scheme val="major"/>
      </rPr>
      <t>(moneda extranjera)</t>
    </r>
  </si>
  <si>
    <r>
      <t xml:space="preserve">Forma de Pago 
</t>
    </r>
    <r>
      <rPr>
        <i/>
        <sz val="10"/>
        <color theme="1"/>
        <rFont val="Arial"/>
        <family val="2"/>
        <scheme val="major"/>
      </rPr>
      <t>(Contado o Cheque)</t>
    </r>
  </si>
  <si>
    <r>
      <t xml:space="preserve">Observaciones </t>
    </r>
    <r>
      <rPr>
        <i/>
        <sz val="10"/>
        <color theme="1"/>
        <rFont val="Arial"/>
        <family val="2"/>
        <scheme val="major"/>
      </rPr>
      <t xml:space="preserve">
(se debe incluir toda aquella característica que no ha sido posible incluir anteriormente)</t>
    </r>
  </si>
  <si>
    <t>Tiene una resolución de 1920px-1080px.</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</si>
  <si>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</si>
  <si>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Trebuchet MS"/>
      </rPr>
      <t xml:space="preserve">Importe Unitario
</t>
    </r>
    <r>
      <rPr>
        <i/>
        <sz val="8"/>
        <color theme="1"/>
        <rFont val="Trebuchet MS"/>
      </rPr>
      <t>(moneda nacional)</t>
    </r>
  </si>
  <si>
    <t xml:space="preserve">CONTADO </t>
  </si>
  <si>
    <t>El Kingston A400 SA400S37/240G 240 GB ofrece una transferencia de datos de 550 MB/s en lectura y 490 MB/s en escritura, para un rendimiento óptimo.</t>
  </si>
  <si>
    <r>
      <rPr>
        <b/>
        <sz val="10"/>
        <color theme="1"/>
        <rFont val="Arial"/>
      </rPr>
      <t xml:space="preserve">Importe Total
</t>
    </r>
    <r>
      <rPr>
        <b/>
        <i/>
        <sz val="8"/>
        <color theme="1"/>
        <rFont val="Arial"/>
      </rPr>
      <t>(moneda extranjera)</t>
    </r>
  </si>
  <si>
    <t>Speed Logic</t>
  </si>
  <si>
    <t>+57 3042156143</t>
  </si>
  <si>
    <t>contado y tranferencias bancarias</t>
  </si>
  <si>
    <t>Computador de gran alcance con procesador  RYZ 5 9600X., acondicionado para ejecutar multitareas administrativas, domesticas, educativas e interactivas a gran velocidad</t>
  </si>
  <si>
    <t>Falabella</t>
  </si>
  <si>
    <t>https://www.falabella.com.co/falabella-co/product/130529098/COMPUTADOR-GAMER-RYZEN-5-5600GT-16GB-RAM-SSD-1TB-MONITOR-22-FHD+-COMBO/130529099?kid=shopp274fa&amp;gclsrc=aw.ds&amp;gad_source=1&amp;gad_campaignid=21991509355&amp;gbraid=0AAAAADtuoyRxsUS_iXJxgQjIarRnj6Giv&amp;gclid=CjwKCAiA55rJBhByEiwAFkY1QFU-kBWHNMnXjcEBhY7gZWxNiIoMdeWFp-q7uxEgRi4wbg3fhVJ02RoCY4sQAvD_BwE</t>
  </si>
  <si>
    <t>Este PC de alto rendimiento está diseñado para jugadores exigentes, creadores de contenido y usuarios que requieren una máquina potente, moderna y altamente eficiente. Equipado con un procesador AMD Ryzen 5 9600X, esta configuración ofrece una velocidad sobresaliente y una capacidad de respuesta ideal para gaming competitivo, edición multimedia, modelado 3D ligero y multitarea intensiva.</t>
  </si>
  <si>
    <r>
      <rPr>
        <sz val="10"/>
        <color theme="1"/>
        <rFont val="Arial"/>
        <family val="2"/>
        <scheme val="minor"/>
      </rPr>
      <t>Este PC Gamer ofrece un excelente equilibrio entre rendimiento, velocidad y eficiencia, ideal tanto para juegos casuales como para tareas de productividad, estudio, diseño ligero y entretenimiento diario. Está equipado con un procesador AMD Ryzen 5 5600G, que integra gráficos Radeon Vega 7, ofreciendo un desempeño ágil en aplicaciones gráficas básicas y juegos de baja a media exigencia. Su arquitectura de 6 núcleos y 12 hilos, con una velocidad turbo de hasta 4.4 GHz, garantiza una experiencia fluida incluso en multitarea</t>
    </r>
    <r>
      <rPr>
        <sz val="10"/>
        <color rgb="FF3C4B71"/>
        <rFont val="Arial"/>
        <family val="2"/>
        <scheme val="minor"/>
      </rPr>
      <t>.</t>
    </r>
  </si>
  <si>
    <t>contado y con tarjeta bancaria o tarjeta falabella</t>
  </si>
  <si>
    <t>Procesador: AMD Ryzen 5
Memoria RAM: 16GB
Características de la pantalla: Anti glare,LED,FHD
Núcleos del procesador: Hexa core
Capacidad de almacenamiento: 1 TB</t>
  </si>
  <si>
    <t>Alkosto</t>
  </si>
  <si>
    <t>https://www.alkosto.com/computador-portatil-asus-vivobook-go-156-pulgadas-e1504fa/p/4711387322925</t>
  </si>
  <si>
    <t>El portátil ASUS E1504FA-NJ748W es una excelente opción para estudiantes, trabajadores y usuarios que necesitan un equipo confiable, ligero y eficiente para tareas de nivel medio como ofimática, navegación, videollamadas, clases virtuales, gestión de archivos y uso de aplicaciones cotidianas.
Equipado con un procesador AMD Ryzen 5 7520U de 4 núcleos y velocidad de 2.8 GHz, ofrece un rendimiento sólido, eficiente y equilibrado para multitarea moderada. Sus 8 GB de memoria RAM permiten trabajar con varias aplicaciones simultáneamente, mientras que su unidad de estado sólido SSD de 512 GB proporciona arranques rápidos, menor tiempo de carga y espacio suficiente para documentos, fotos, programas y contenido multimedia.</t>
  </si>
  <si>
    <t>Computador Portátil ASUS Vivobook Go 15.6" Pulgadas E1504FA - AMD Ryzen 5 - RAM 8GB - Disco SSD 512 GB - Negro</t>
  </si>
  <si>
    <t>contado y con tarjeta bancaria</t>
  </si>
  <si>
    <t>https://www.alkosto.com/computadores-tablet/monitores/c/BI_110_ALKOS</t>
  </si>
  <si>
    <t>una pantalla diseñada para ofrecerte calidad de imagen y confort en cada momento. Con su panel IPS y resolución Full HD, cada imagen cobra vida con colores vibrantes y detalles nítidos, ideal para tareas diarias o maratones de productividad</t>
  </si>
  <si>
    <t xml:space="preserve">mercado libre </t>
  </si>
  <si>
    <t>https://www.mercadolibre.com.co/monitor-gamer-bowmann-pantalla-24-full-hd-100hz-ips-led-sin-borde-parlantes-incorporados/p/MCO44781307?pdp_filters=deal%3AMCO1424735-1#polycard_client=search-nordic&amp;search_layout=grid&amp;position=3&amp;type=product&amp;tracking_id=92660907-021b-4812-b534-a5a34b016a7b&amp;wid=MCO2779135556&amp;sid=search</t>
  </si>
  <si>
    <t xml:space="preserve">diseñado para ofrecerte una experiencia visual excepcional. Con una resolución de 1920x1080p y una tasa de refresco de 100Hz, este monitor garantiza imágenes fluidas y nítidas, ideales tanto para el trabajo como para el entretenimiento. </t>
  </si>
  <si>
    <t>resolución de 1920x1080p y una tasa de refresco de 100Hz</t>
  </si>
  <si>
    <t>éxito</t>
  </si>
  <si>
    <t>https://www.exito.com/monitor-led-janus-2145-pulgadas-fhd-102734803-mp/p</t>
  </si>
  <si>
    <t>Con un panel IPS de alta calidad, disfruta de imágenes vibrantes y nítidas gracias a su resolución Full HD (1920 x 1080) y una tasa de refresco de 100Hz. Este monitor es la combinación perfecta de diseño moderno, rendimiento superior y funcionalidad</t>
  </si>
  <si>
    <t>Pantalla IPS de 21.45" para una vista perfecta desde cualquier ángulo (178º).
Conectividad completa: VGA + HDMI + Audio Out para mayor versatilidad.
Parlantes incorporados para una experiencia de sonido clara y sin cables adicionales.
Brillo de 250 cd/m² y contraste 3000:1 para colores más vivos y realistas.</t>
  </si>
  <si>
    <t>https://www.alkosto.com/disco-estado-solido-externo-adata-sd620-2tb/p/4711085947338</t>
  </si>
  <si>
    <t>5 veces más rápido que un disco duro estandar.
Compatible con consolas de videojuegos de última generación.
Transmisión de ultra velocidad USB 3.2 Gen2.
Compatible con múltiples sistemas operativos y dispositivos</t>
  </si>
  <si>
    <t>Resistencia: Resistente a caídas y golpes fuertes.Velocidad: 5 veces más rápido que un disco duro estándar.Compatibilidad con Consolas: Compatible con consolas de videojuegos de última generación.Transmisión: Transmisión de ultra velocidad USB 3.2 Gen2.Sistemas Operativos/Dispositivos: Compatible con múltiples sistemas operativos y dispositivos.Transferencia de Datos: Ultra velocidad (ejemplo: 10GB de video 4K en $\approx 20$ segundos).</t>
  </si>
  <si>
    <t>mercado libre</t>
  </si>
  <si>
    <t>https://www.mercadolibre.com.co/disco-duro-externo-memoria-solido-250gb-portatil-usb-ps4-pc/up/MCOU2993772349?pdp_filters=item_id:MCO2810281186#is_advertising=true&amp;searchVariation=MCOU2993772349&amp;backend_model=search-backend&amp;position=11&amp;search_layout=stack&amp;type=pad&amp;tracking_id=cd47c1c6-7328-4654-971f-a640c891d29c&amp;ad_domain=VQCATCORE_LST&amp;ad_position=11&amp;ad_click_id=YmQ4YzIzZmItMDgxOC00NDhiLTllZDYtYmRiNTg1ZDVmMzkz</t>
  </si>
  <si>
    <t>Capacidad: 250 GB
Útil para guardar programas y documentos con su capacidad de 250 GB.
Tamaño de 1.8 ".
Fácil de transportar.
Accesorios incluidos: cable usb.</t>
  </si>
  <si>
    <t>Exito</t>
  </si>
  <si>
    <t>https://www.exito.com/disco-duro-externo-solido-portable-2tb-crucial-x6-usb-32-102221065-mp/p</t>
  </si>
  <si>
    <t>GRAN CAPACIDAD: Hasta 4 TB, capacidad de almacenamiento: suficiente para hasta 20 000 fotos, 100 horas de video, 6000 canciones o 400 GB de documentos con espacio de sobra.
 RÁPIDO: velocidades de lectura de hasta 800 MB/s, eso es 5,6 veces más rápido que la mayoría de los discos duros
PEQUEÑO, LIGERO: cabe entre las yemas de los dedos y pesa menos que las llaves del auto.
AMPLIA COMPATIBILIDAD: Funciona con PC, Mac, Android, iPad Pro8 (las computadoras PS4, Xbox One y USB-A requieren un adaptador USB-A, disponible por separado).
CONFIABLE Y DURADERO: respaldado por Micron, uno de los mayores fabricantes de almacenamiento flash del mundo</t>
  </si>
  <si>
    <t>https://www.alkosto.com/search?text=disco%20duro%20interno</t>
  </si>
  <si>
    <t>frece una velocidad impresionante que acelera todo lo que haces en tu computador: desde encenderlo en segundos hasta disfrutar juegos y programas pesados sin pausas. Gracias a su diseño moderno y eficiente, se mantiene frío, consume menos energía y trabaja con total estabilidad incluso cuando le exiges al máximo.</t>
  </si>
  <si>
    <t>https://www.mercadolibre.com.co/disco-solido-interno-ssd-verbatim-vi550-sata-3-25-1tb/p/MCO35159042#polycard_client=search-nordic&amp;search_layout=stack&amp;position=41&amp;type=product&amp;tracking_id=6d799dea-c4c3-4b6b-bdd2-2c8864ea107c&amp;wid=MCO3251395298&amp;sid=search</t>
  </si>
  <si>
    <t>Capacidad: 1 TB.
Útil para guardar programas y documentos con su capacidad de 1 TB.
Tamaño de 2.5 ".
Interfaz de conexión: SATA III.
Apto para PC.
Incrementa el rendimiento de tu equipo.</t>
  </si>
  <si>
    <t>Éxito</t>
  </si>
  <si>
    <t>https://www.exito.com/disco-duro-interno-de-500-gb-101118616-mp/p</t>
  </si>
  <si>
    <t>Capacidad: 500 GB.
Factor de forma: 2,5 pulgadas.
Interfaz: SATA3.
NAND Flash: Micron 3D TLC NAND</t>
  </si>
  <si>
    <t>Mercado libre</t>
  </si>
  <si>
    <t>https://www.mercadolibre.com.co/memoria-ram-micron-crucial-sodimm-ct16g4sfra32a-1-16-gb-color-verde/p/MCO18934677#polycard_client=search-nordic&amp;search_layout=stack&amp;position=3&amp;type=product&amp;tracking_id=fd0df773-2ad2-4d06-b778-ca96f491ad34&amp;wid=MCO1659773279&amp;sid=search</t>
  </si>
  <si>
    <t>Cuenta con una tasa de transferencia de 25600 MB/s.
Compatible con Intel Core.
Alcanza una velocidad de 3.2 GHz.
Cuenta con una tasa de transferencia de 25.6 GB/s</t>
  </si>
  <si>
    <t>Optimiza el rendimiento de tu máquina con la tecnología DDR4.
Memoria con formato SODIMM.
Apta para notebooks.
Línea SODIMM.</t>
  </si>
  <si>
    <t>https://www.exito.com/ram-8gb-synology-ddr4-2666-ecc-103301287-mp/p</t>
  </si>
  <si>
    <t>Marca:Synology
Tipo:DDR4 SDRAM
Número de módulos:1 x 8 GB
Modelo: DDR4 2666 MHz UDIMM
MPN: D4EC-2666-8G
Velocidad del bus: PC4-21300 (2666 MHz)
Características de la memoria: N</t>
  </si>
  <si>
    <t>CARACTERÍSTICAS PRINCIPALES: Tamaño de la memoria: 8 GBMemory Technology: DDR4 SDRAMMemory Voltaje: 1.1.20 VMemory Velocidad: 2666 MHzMemoria estándar: DDR4-2666/PC4-21333Comprobación de errores: ECCSigenio de procesamiento: UnbufferedDispositivo compatible: Servidor NASomplemento: 288 pinesFactor de forma: DIMMCompatibilidad: Synology RackStation NAS Servers: RS4017xs+ RS3618xs RS3617xs+ RS3617RPxs RS1619xs+ Synology Inc. D4EC-2666-8GModel Marca Synology Modelo D4EC-2666-8GTypeAccesorioCaracterísticasCaracterísticasModelos aplicados: RS4017xs+, RS3618xs, RS3617xs+, RS3617RPxs, RS1619xs+Dimensiones y pesoPeso0.05</t>
  </si>
  <si>
    <t>.</t>
  </si>
  <si>
    <t>https://www.alkosto.com/teclado-hp-alambrico-150-basic-negro/p/196548244195</t>
  </si>
  <si>
    <t>Teclado con cable HP 150. Este perfecto compañero plug-and-play es un teclado cómodo con todo lo que necesitas para donde sea que lo lleves. Rápido, cómodo, preciso. Este teclado tipo chiclet tiene mucho estilo</t>
  </si>
  <si>
    <t>Contado</t>
  </si>
  <si>
    <t>https://www.mercadolibre.com.co/teclado-inalambrico-bluetooth-logitech-k250-negro/p/MCO54630038#polycard_client=search-nordic&amp;search_layout=stack&amp;position=9&amp;type=product&amp;tracking_id=cdb911b7-8c32-4b7b-a987-08fa2f048c00&amp;wid=MCO1758870507&amp;sid=search</t>
  </si>
  <si>
    <t>Idioma: Español España.
Layout: QWERTY.
Contiene teclado numérico.
Tipo de teclado: membrana.
Medidas: 36.99cm de ancho, 13.69cm de alto y 2.28cm de profundidad.</t>
  </si>
  <si>
    <t>Tarjeta</t>
  </si>
  <si>
    <t>https://www.exito.com/teclado-genius-multimedia-slimstar-7230-inalambrico-102736955-mp/p</t>
  </si>
  <si>
    <t xml:space="preserve"> Slimstar 7230 cuenta con teclas de estilo chocolate para escribir cómodamente.
Las 9 teclas de acceso multimedia y acceso rápido incorporadas brindan la facilidad en navegar , reproducir música e iniciar aplicaciones como el correo electrónico..</t>
  </si>
  <si>
    <t xml:space="preserve">tarjeta </t>
  </si>
  <si>
    <t>https://www.alkosto.com/mouse-hp-alambrico-optico-100-negro/p/193905461370</t>
  </si>
  <si>
    <t>Sensor óptico de 1600 DPI para mayor velocidad
Conectividad USB para instalar y usar rápidamente
Diseño ambidiestro para la comodidad de todos
Diseño pensado en la forma natural de la mano</t>
  </si>
  <si>
    <t>https://www.mercadolibre.com.co/mouse-lenovo-00ph133-essential-black/p/MCO22371806?pdp_filters=item_id:MCO1406365813#is_advertising=true&amp;searchVariation=MCO22371806&amp;backend_model=search-backend&amp;position=2&amp;search_layout=stack&amp;type=pad&amp;tracking_id=8c49c47d-b6ce-49c5-954a-5f5a79399c1d&amp;ad_domain=VQCATCORE_LST&amp;ad_position=2&amp;ad_click_id=MjVkY2E5NGItMDNlMy00MjkwLTgwZjQtOWNhZmYwMDg0NjBh</t>
  </si>
  <si>
    <t>Utiliza cable.
Posee rueda de desplazamiento.
Con sensor óptico.
Resolución de 1600dpi.</t>
  </si>
  <si>
    <t>https://www.exito.com/mouse-logitech-g203-lightsync-100680057-mp/p</t>
  </si>
  <si>
    <t>• Sensor Para Juegos
• Sistema Mecánico De Tensión De Botones
• Rgb Lightsync
• Seis Botones Programables
• Cambio De Dpi Sobre La Marcha
• Memoria Integrada
• Requisitos Del Sistema
• Windows® 7 O Posteriores
• Macos® 10.11 O Posteriores
• Chrome Os™
• Puerto Usb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</si>
</sst>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Red]\(&quot;$&quot;#,##0\)"/>
    <numFmt numFmtId="165" formatCode="&quot;$&quot;#,##0.00_);[Red]\(&quot;$&quot;#,##0.00\)"/>
    <numFmt numFmtId="167" formatCode="_([$$-409]* #,##0.00_);_([$$-409]* \(#,##0.00\);_([$$-409]* &quot;-&quot;??_);_(@_)"/>
    <numFmt numFmtId="168" formatCode="_-[$$-240A]\ * #,##0.00_-;\-[$$-240A]\ * #,##0.00_-;_-[$$-240A]\ * &quot;-&quot;??_-;_-@_-"/>
    <numFmt numFmtId="169" formatCode="_-[$$-409]* #,##0.00_ ;_-[$$-409]* \-#,##0.00\ ;_-[$$-409]* &quot;-&quot;??_ ;_-@_ "/>
  </numFmts>
  <fonts count="51">
    <font>
      <sz val="10"/>
      <color rgb="FF000000"/>
      <name val="Arial"/>
      <scheme val="minor"/>
    </font>
    <font>
      <sz val="10"/>
      <color theme="1"/>
      <name val="Arial"/>
    </font>
    <font>
      <b/>
      <sz val="12"/>
      <color theme="1"/>
      <name val="Arial"/>
    </font>
    <font>
      <sz val="10"/>
      <name val="Arial"/>
    </font>
    <font>
      <b/>
      <sz val="10"/>
      <color theme="1"/>
      <name val="Arial"/>
    </font>
    <font>
      <b/>
      <sz val="10"/>
      <color theme="1"/>
      <name val="Trebuchet MS"/>
    </font>
    <font>
      <b/>
      <u/>
      <sz val="10"/>
      <color theme="1"/>
      <name val="Trebuchet MS"/>
    </font>
    <font>
      <i/>
      <sz val="10"/>
      <color theme="1"/>
      <name val="Arial"/>
    </font>
    <font>
      <sz val="10"/>
      <color theme="1"/>
      <name val="Trebuchet MS"/>
    </font>
    <font>
      <u/>
      <sz val="10"/>
      <color rgb="FF000000"/>
      <name val="Trebuchet MS"/>
    </font>
    <font>
      <sz val="10"/>
      <color theme="1"/>
      <name val="Arial Narrow"/>
    </font>
    <font>
      <sz val="10"/>
      <color rgb="FF000000"/>
      <name val="Trebuchet MS"/>
    </font>
    <font>
      <i/>
      <sz val="8"/>
      <color theme="1"/>
      <name val="Trebuchet MS"/>
    </font>
    <font>
      <i/>
      <sz val="10"/>
      <color theme="1"/>
      <name val="Trebuchet MS"/>
    </font>
    <font>
      <i/>
      <u/>
      <sz val="8"/>
      <color theme="1"/>
      <name val="Trebuchet MS"/>
    </font>
    <font>
      <i/>
      <sz val="8"/>
      <color theme="1"/>
      <name val="Arial"/>
    </font>
    <font>
      <b/>
      <i/>
      <sz val="8"/>
      <color theme="1"/>
      <name val="Arial"/>
    </font>
    <font>
      <u/>
      <sz val="10"/>
      <color theme="10"/>
      <name val="Arial"/>
      <scheme val="minor"/>
    </font>
    <font>
      <sz val="10"/>
      <color rgb="FF000000"/>
      <name val="Arial"/>
      <scheme val="minor"/>
    </font>
    <font>
      <sz val="10"/>
      <color rgb="FF222222"/>
      <name val="Inherit"/>
    </font>
    <font>
      <sz val="10"/>
      <name val="&quot;Proxima Nova&quot;"/>
    </font>
    <font>
      <b/>
      <sz val="10"/>
      <color theme="1"/>
      <name val="Arial"/>
      <family val="2"/>
      <scheme val="major"/>
    </font>
    <font>
      <i/>
      <sz val="10"/>
      <color theme="1"/>
      <name val="Arial"/>
      <family val="2"/>
      <scheme val="major"/>
    </font>
    <font>
      <b/>
      <u/>
      <sz val="10"/>
      <color theme="1"/>
      <name val="Arial"/>
      <family val="2"/>
      <scheme val="major"/>
    </font>
    <font>
      <sz val="10"/>
      <color rgb="FF000000"/>
      <name val="Arial"/>
      <family val="2"/>
      <scheme val="major"/>
    </font>
    <font>
      <u/>
      <sz val="10"/>
      <color theme="10"/>
      <name val="Arial"/>
      <family val="2"/>
      <scheme val="major"/>
    </font>
    <font>
      <sz val="10"/>
      <color theme="1"/>
      <name val="Arial"/>
      <family val="2"/>
      <scheme val="major"/>
    </font>
    <font>
      <u/>
      <sz val="10"/>
      <color rgb="FF000000"/>
      <name val="Arial"/>
      <family val="2"/>
      <scheme val="major"/>
    </font>
    <font>
      <sz val="10"/>
      <color rgb="FF444444"/>
      <name val="Arial"/>
      <family val="2"/>
      <scheme val="major"/>
    </font>
    <font>
      <i/>
      <u/>
      <sz val="10"/>
      <color theme="1"/>
      <name val="Arial"/>
      <family val="2"/>
      <scheme val="major"/>
    </font>
    <font>
      <sz val="10"/>
      <color rgb="FF231F20"/>
      <name val="Arial"/>
      <family val="2"/>
      <scheme val="major"/>
    </font>
    <font>
      <sz val="10"/>
      <color rgb="FF333333"/>
      <name val="Arial"/>
      <family val="2"/>
      <scheme val="major"/>
    </font>
    <font>
      <sz val="10"/>
      <color rgb="FF666666"/>
      <name val="Arial"/>
      <family val="2"/>
      <scheme val="major"/>
    </font>
    <font>
      <b/>
      <sz val="10"/>
      <color rgb="FF333E48"/>
      <name val="Arial"/>
      <family val="2"/>
      <scheme val="major"/>
    </font>
    <font>
      <sz val="10"/>
      <color rgb="FF333E48"/>
      <name val="Arial"/>
      <family val="2"/>
      <scheme val="major"/>
    </font>
    <font>
      <sz val="10"/>
      <name val="Arial"/>
      <family val="2"/>
      <scheme val="major"/>
    </font>
    <font>
      <sz val="10"/>
      <color rgb="FF4A4A4A"/>
      <name val="Arial"/>
      <family val="2"/>
      <scheme val="major"/>
    </font>
    <font>
      <sz val="10"/>
      <color rgb="FF0F1111"/>
      <name val="Arial"/>
      <family val="2"/>
      <scheme val="major"/>
    </font>
    <font>
      <sz val="10"/>
      <color theme="1"/>
      <name val="Arial"/>
      <family val="2"/>
      <scheme val="minor"/>
    </font>
    <font>
      <sz val="11"/>
      <color rgb="FF000000"/>
      <name val="Poppins"/>
    </font>
    <font>
      <sz val="10"/>
      <color rgb="FF000000"/>
      <name val="Arial"/>
      <family val="2"/>
      <scheme val="minor"/>
    </font>
    <font>
      <sz val="10"/>
      <color rgb="FF000000"/>
      <name val="Trebuchet MS"/>
      <family val="2"/>
    </font>
    <font>
      <sz val="10"/>
      <color theme="1"/>
      <name val="Trebuchet MS"/>
      <family val="2"/>
    </font>
    <font>
      <sz val="10"/>
      <color rgb="FF231F20"/>
      <name val="Trebuchet MS"/>
      <family val="2"/>
    </font>
    <font>
      <sz val="10"/>
      <color rgb="FF3C4B71"/>
      <name val="Arial"/>
      <family val="2"/>
      <scheme val="minor"/>
    </font>
    <font>
      <b/>
      <sz val="10"/>
      <color rgb="FF4A4A4A"/>
      <name val="Segoe UI"/>
      <family val="2"/>
    </font>
    <font>
      <sz val="10"/>
      <name val="&quot;open sans&quot;"/>
    </font>
    <font>
      <sz val="10"/>
      <color rgb="FF444444"/>
      <name val="Arial"/>
      <family val="2"/>
      <scheme val="minor"/>
    </font>
    <font>
      <sz val="11"/>
      <color rgb="FF444444"/>
      <name val="Arial"/>
      <family val="2"/>
      <scheme val="minor"/>
    </font>
    <font>
      <sz val="11"/>
      <color rgb="FF000000"/>
      <name val="Arial"/>
      <family val="2"/>
      <scheme val="minor"/>
    </font>
    <font>
      <sz val="11"/>
      <color rgb="FF231F20"/>
      <name val="Arial"/>
      <family val="2"/>
      <scheme val="major"/>
    </font>
  </fonts>
  <fills count="8">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s>
  <borders count="14">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7" fillId="0" borderId="0" applyNumberFormat="0" applyFill="0" applyBorder="0" applyAlignment="0" applyProtection="0"/>
    <xf numFmtId="9" fontId="18" fillId="0" borderId="0" applyFont="0" applyFill="0" applyBorder="0" applyAlignment="0" applyProtection="0"/>
  </cellStyleXfs>
  <cellXfs count="99">
    <xf numFmtId="0" fontId="0" fillId="0" borderId="0" xfId="0"/>
    <xf numFmtId="0" fontId="1" fillId="0" borderId="0" xfId="0" applyFont="1"/>
    <xf numFmtId="0" fontId="4" fillId="3"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6" fillId="4"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7" fillId="0" borderId="0" xfId="0" applyFont="1" applyAlignment="1">
      <alignment horizontal="center" vertical="center"/>
    </xf>
    <xf numFmtId="0" fontId="4" fillId="0" borderId="3" xfId="0" applyFont="1" applyBorder="1" applyAlignment="1">
      <alignment horizontal="center" vertical="center"/>
    </xf>
    <xf numFmtId="0" fontId="8" fillId="0" borderId="3" xfId="0" applyFont="1" applyBorder="1" applyAlignment="1">
      <alignment horizontal="center" vertical="top" wrapText="1"/>
    </xf>
    <xf numFmtId="0" fontId="1" fillId="0" borderId="3" xfId="0" applyFont="1" applyBorder="1"/>
    <xf numFmtId="0" fontId="8" fillId="0" borderId="3" xfId="0" applyFont="1" applyBorder="1" applyAlignment="1">
      <alignment horizontal="left" vertical="top" wrapText="1"/>
    </xf>
    <xf numFmtId="0" fontId="10" fillId="0" borderId="0" xfId="0" applyFont="1" applyAlignment="1">
      <alignment horizontal="center" vertical="center" wrapText="1"/>
    </xf>
    <xf numFmtId="0" fontId="4" fillId="3"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6" fillId="4" borderId="5"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0" borderId="7" xfId="0" applyFont="1" applyBorder="1" applyAlignment="1">
      <alignment horizontal="center" vertical="center"/>
    </xf>
    <xf numFmtId="0" fontId="1" fillId="0" borderId="7" xfId="0" applyFont="1" applyBorder="1"/>
    <xf numFmtId="0" fontId="11" fillId="0" borderId="3" xfId="0" applyFont="1" applyBorder="1" applyAlignment="1">
      <alignment horizontal="center" vertical="center" wrapText="1"/>
    </xf>
    <xf numFmtId="0" fontId="17" fillId="0" borderId="3" xfId="1" applyBorder="1" applyAlignment="1">
      <alignment horizontal="center" vertical="center" wrapText="1"/>
    </xf>
    <xf numFmtId="168" fontId="11" fillId="0" borderId="3" xfId="0" applyNumberFormat="1" applyFont="1" applyBorder="1" applyAlignment="1">
      <alignment horizontal="center" vertical="center" wrapText="1"/>
    </xf>
    <xf numFmtId="167" fontId="11" fillId="0" borderId="3" xfId="0" applyNumberFormat="1" applyFont="1" applyBorder="1" applyAlignment="1">
      <alignment horizontal="center" vertical="center" wrapText="1"/>
    </xf>
    <xf numFmtId="0" fontId="19" fillId="6" borderId="3"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4" fillId="0" borderId="4" xfId="0" applyFont="1" applyBorder="1" applyAlignment="1">
      <alignment horizontal="center" vertical="center"/>
    </xf>
    <xf numFmtId="0" fontId="8" fillId="0" borderId="6" xfId="0" applyFont="1" applyBorder="1" applyAlignment="1">
      <alignment horizontal="left" vertical="top" wrapText="1"/>
    </xf>
    <xf numFmtId="0" fontId="21" fillId="3" borderId="3" xfId="0" applyFont="1" applyFill="1" applyBorder="1" applyAlignment="1">
      <alignment horizontal="center" vertical="center" wrapText="1"/>
    </xf>
    <xf numFmtId="0" fontId="21" fillId="0" borderId="3" xfId="0" applyFont="1" applyBorder="1" applyAlignment="1">
      <alignment horizontal="center" vertical="center" wrapText="1"/>
    </xf>
    <xf numFmtId="0" fontId="23" fillId="4" borderId="3" xfId="0" applyFont="1" applyFill="1" applyBorder="1" applyAlignment="1">
      <alignment horizontal="center" vertical="center" wrapText="1"/>
    </xf>
    <xf numFmtId="0" fontId="21" fillId="5" borderId="4" xfId="0" applyFont="1" applyFill="1" applyBorder="1" applyAlignment="1">
      <alignment horizontal="center" vertical="center" wrapText="1"/>
    </xf>
    <xf numFmtId="0" fontId="24" fillId="0" borderId="4" xfId="0" applyFont="1" applyBorder="1" applyAlignment="1">
      <alignment horizontal="center" vertical="center" wrapText="1"/>
    </xf>
    <xf numFmtId="0" fontId="25" fillId="0" borderId="5" xfId="1" applyFont="1" applyBorder="1" applyAlignment="1">
      <alignment vertical="center" wrapText="1"/>
    </xf>
    <xf numFmtId="0" fontId="24" fillId="0" borderId="3" xfId="0" applyFont="1" applyBorder="1" applyAlignment="1">
      <alignment horizontal="center" vertical="center" wrapText="1"/>
    </xf>
    <xf numFmtId="165" fontId="24" fillId="0" borderId="3" xfId="0" applyNumberFormat="1" applyFont="1" applyBorder="1" applyAlignment="1">
      <alignment horizontal="center" vertical="center" wrapText="1"/>
    </xf>
    <xf numFmtId="167" fontId="26" fillId="0" borderId="3" xfId="0" applyNumberFormat="1" applyFont="1" applyBorder="1" applyAlignment="1">
      <alignment horizontal="center" vertical="top" wrapText="1"/>
    </xf>
    <xf numFmtId="0" fontId="24" fillId="6" borderId="3" xfId="0" applyFont="1" applyFill="1" applyBorder="1" applyAlignment="1">
      <alignment vertical="center" wrapText="1"/>
    </xf>
    <xf numFmtId="0" fontId="28" fillId="7" borderId="3" xfId="0" applyFont="1" applyFill="1" applyBorder="1" applyAlignment="1">
      <alignment vertical="center" wrapText="1"/>
    </xf>
    <xf numFmtId="0" fontId="25" fillId="0" borderId="3" xfId="1" applyFont="1" applyBorder="1" applyAlignment="1">
      <alignment horizontal="center" vertical="center" wrapText="1"/>
    </xf>
    <xf numFmtId="164" fontId="24" fillId="0" borderId="3" xfId="0" applyNumberFormat="1" applyFont="1" applyBorder="1" applyAlignment="1">
      <alignment horizontal="center" vertical="center" wrapText="1"/>
    </xf>
    <xf numFmtId="0" fontId="24" fillId="0" borderId="7" xfId="0" applyFont="1" applyBorder="1" applyAlignment="1">
      <alignment horizontal="center" vertical="center" wrapText="1"/>
    </xf>
    <xf numFmtId="0" fontId="25" fillId="0" borderId="7" xfId="1" applyFont="1" applyBorder="1" applyAlignment="1">
      <alignment horizontal="center" vertical="center" wrapText="1"/>
    </xf>
    <xf numFmtId="0" fontId="24" fillId="6" borderId="7" xfId="0" applyFont="1" applyFill="1" applyBorder="1" applyAlignment="1">
      <alignment horizontal="center" vertical="center" wrapText="1"/>
    </xf>
    <xf numFmtId="164" fontId="24" fillId="0" borderId="7" xfId="0" applyNumberFormat="1" applyFont="1" applyBorder="1" applyAlignment="1">
      <alignment horizontal="center" vertical="center" wrapText="1"/>
    </xf>
    <xf numFmtId="165" fontId="24" fillId="0" borderId="7" xfId="0" applyNumberFormat="1" applyFont="1" applyBorder="1" applyAlignment="1">
      <alignment horizontal="center" vertical="center" wrapText="1"/>
    </xf>
    <xf numFmtId="167" fontId="26" fillId="0" borderId="7" xfId="0" applyNumberFormat="1" applyFont="1" applyBorder="1" applyAlignment="1">
      <alignment horizontal="center" vertical="top" wrapText="1"/>
    </xf>
    <xf numFmtId="0" fontId="30" fillId="0" borderId="7" xfId="0" applyFont="1" applyBorder="1" applyAlignment="1">
      <alignment horizontal="center" vertical="center" wrapText="1"/>
    </xf>
    <xf numFmtId="0" fontId="31" fillId="6" borderId="7" xfId="0" applyFont="1" applyFill="1" applyBorder="1" applyAlignment="1">
      <alignment horizontal="center" vertical="center" wrapText="1"/>
    </xf>
    <xf numFmtId="0" fontId="26" fillId="0" borderId="7" xfId="0" applyFont="1" applyBorder="1" applyAlignment="1">
      <alignment horizontal="left" vertical="top" wrapText="1"/>
    </xf>
    <xf numFmtId="167" fontId="24" fillId="0" borderId="7" xfId="0" applyNumberFormat="1" applyFont="1" applyBorder="1" applyAlignment="1">
      <alignment horizontal="center" vertical="top" wrapText="1"/>
    </xf>
    <xf numFmtId="168" fontId="24" fillId="6" borderId="7" xfId="0" applyNumberFormat="1" applyFont="1" applyFill="1" applyBorder="1" applyAlignment="1">
      <alignment horizontal="center" vertical="center" wrapText="1"/>
    </xf>
    <xf numFmtId="168" fontId="24" fillId="0" borderId="7" xfId="0" applyNumberFormat="1" applyFont="1" applyBorder="1" applyAlignment="1">
      <alignment horizontal="center" vertical="center" wrapText="1"/>
    </xf>
    <xf numFmtId="0" fontId="28" fillId="6" borderId="7" xfId="0" applyFont="1" applyFill="1" applyBorder="1" applyAlignment="1">
      <alignment horizontal="center" vertical="center" wrapText="1"/>
    </xf>
    <xf numFmtId="167" fontId="26" fillId="0" borderId="7" xfId="2" applyNumberFormat="1" applyFont="1" applyBorder="1" applyAlignment="1">
      <alignment horizontal="center" vertical="top" wrapText="1"/>
    </xf>
    <xf numFmtId="0" fontId="33" fillId="6" borderId="7" xfId="0" applyFont="1" applyFill="1" applyBorder="1" applyAlignment="1">
      <alignment horizontal="center" vertical="center" wrapText="1"/>
    </xf>
    <xf numFmtId="0" fontId="34" fillId="6" borderId="7" xfId="0" applyFont="1" applyFill="1" applyBorder="1" applyAlignment="1">
      <alignment horizontal="center" vertical="center" wrapText="1"/>
    </xf>
    <xf numFmtId="0" fontId="1" fillId="0" borderId="4" xfId="0" applyFont="1" applyBorder="1"/>
    <xf numFmtId="0" fontId="31" fillId="6" borderId="7" xfId="0" applyFont="1" applyFill="1" applyBorder="1" applyAlignment="1">
      <alignment vertical="center" wrapText="1"/>
    </xf>
    <xf numFmtId="168" fontId="35" fillId="6" borderId="7" xfId="0" applyNumberFormat="1" applyFont="1" applyFill="1" applyBorder="1" applyAlignment="1">
      <alignment horizontal="center" vertical="center" wrapText="1"/>
    </xf>
    <xf numFmtId="0" fontId="28" fillId="7" borderId="7" xfId="0" applyFont="1" applyFill="1" applyBorder="1" applyAlignment="1">
      <alignment vertical="center" wrapText="1"/>
    </xf>
    <xf numFmtId="0" fontId="24" fillId="0" borderId="7" xfId="0" applyFont="1" applyBorder="1" applyAlignment="1">
      <alignment horizontal="left" vertical="center" wrapText="1"/>
    </xf>
    <xf numFmtId="168" fontId="36" fillId="6" borderId="7" xfId="0" applyNumberFormat="1" applyFont="1" applyFill="1" applyBorder="1" applyAlignment="1">
      <alignment horizontal="center" vertical="center" wrapText="1"/>
    </xf>
    <xf numFmtId="0" fontId="27" fillId="0" borderId="7" xfId="0" applyFont="1" applyBorder="1" applyAlignment="1">
      <alignment horizontal="center" vertical="center" wrapText="1"/>
    </xf>
    <xf numFmtId="169" fontId="9" fillId="0" borderId="3" xfId="0" applyNumberFormat="1" applyFont="1" applyBorder="1" applyAlignment="1">
      <alignment horizontal="center" vertical="center" wrapText="1"/>
    </xf>
    <xf numFmtId="169" fontId="27" fillId="6" borderId="3" xfId="0" applyNumberFormat="1" applyFont="1" applyFill="1" applyBorder="1" applyAlignment="1">
      <alignment horizontal="center" vertical="center" wrapText="1"/>
    </xf>
    <xf numFmtId="169" fontId="27" fillId="6" borderId="7" xfId="0" applyNumberFormat="1" applyFont="1" applyFill="1" applyBorder="1" applyAlignment="1">
      <alignment horizontal="center" vertical="center" wrapText="1"/>
    </xf>
    <xf numFmtId="169" fontId="27" fillId="6" borderId="9" xfId="0" applyNumberFormat="1" applyFont="1" applyFill="1" applyBorder="1" applyAlignment="1">
      <alignment horizontal="center" vertical="center" wrapText="1"/>
    </xf>
    <xf numFmtId="0" fontId="24" fillId="6" borderId="10" xfId="0" applyFont="1" applyFill="1" applyBorder="1" applyAlignment="1">
      <alignment horizontal="center" vertical="center" wrapText="1"/>
    </xf>
    <xf numFmtId="0" fontId="37" fillId="6" borderId="10"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0" fillId="0" borderId="3" xfId="0" applyBorder="1" applyAlignment="1">
      <alignment horizontal="center" vertical="center"/>
    </xf>
    <xf numFmtId="0" fontId="39" fillId="0" borderId="0" xfId="0" applyFont="1" applyAlignment="1">
      <alignment horizontal="left"/>
    </xf>
    <xf numFmtId="0" fontId="40" fillId="6" borderId="3" xfId="0" applyFont="1" applyFill="1" applyBorder="1" applyAlignment="1">
      <alignment vertical="center" wrapText="1"/>
    </xf>
    <xf numFmtId="168" fontId="41" fillId="0" borderId="3" xfId="0" applyNumberFormat="1" applyFont="1" applyBorder="1" applyAlignment="1">
      <alignment horizontal="center" vertical="center" wrapText="1"/>
    </xf>
    <xf numFmtId="0" fontId="42" fillId="0" borderId="3" xfId="0" applyFont="1" applyBorder="1" applyAlignment="1">
      <alignment horizontal="center" vertical="top" wrapText="1"/>
    </xf>
    <xf numFmtId="0" fontId="43" fillId="0" borderId="3" xfId="0" applyFont="1" applyBorder="1" applyAlignment="1">
      <alignment horizontal="center" vertical="center" wrapText="1"/>
    </xf>
    <xf numFmtId="0" fontId="44" fillId="6" borderId="3" xfId="0" applyFont="1" applyFill="1" applyBorder="1" applyAlignment="1">
      <alignment horizontal="center" vertical="center" wrapText="1"/>
    </xf>
    <xf numFmtId="0" fontId="45" fillId="0" borderId="0" xfId="0" applyFont="1"/>
    <xf numFmtId="0" fontId="46" fillId="6" borderId="2" xfId="0" applyFont="1" applyFill="1" applyBorder="1" applyAlignment="1">
      <alignment horizontal="center" vertical="center" wrapText="1"/>
    </xf>
    <xf numFmtId="0" fontId="41" fillId="0" borderId="3" xfId="0" applyFont="1" applyBorder="1" applyAlignment="1">
      <alignment horizontal="center" vertical="center" wrapText="1"/>
    </xf>
    <xf numFmtId="0" fontId="47" fillId="0" borderId="0" xfId="0" applyFont="1" applyAlignment="1">
      <alignment vertical="center" wrapText="1"/>
    </xf>
    <xf numFmtId="0" fontId="48" fillId="0" borderId="0" xfId="0" applyFont="1" applyAlignment="1">
      <alignment horizontal="left" vertical="center" wrapText="1"/>
    </xf>
    <xf numFmtId="0" fontId="17" fillId="6" borderId="3" xfId="1" applyFill="1" applyBorder="1" applyAlignment="1">
      <alignment horizontal="center" vertical="center" wrapText="1"/>
    </xf>
    <xf numFmtId="0" fontId="49" fillId="0" borderId="11" xfId="0" applyFont="1" applyBorder="1" applyAlignment="1">
      <alignment horizontal="left" vertical="center" wrapText="1"/>
    </xf>
    <xf numFmtId="0" fontId="50" fillId="0" borderId="0" xfId="0" applyFont="1" applyAlignment="1">
      <alignment wrapText="1"/>
    </xf>
    <xf numFmtId="0" fontId="2" fillId="0" borderId="0" xfId="0" applyFont="1" applyAlignment="1">
      <alignment horizontal="center" vertical="center"/>
    </xf>
    <xf numFmtId="0" fontId="0" fillId="0" borderId="0" xfId="0"/>
    <xf numFmtId="0" fontId="2" fillId="2" borderId="4" xfId="0" applyFont="1" applyFill="1" applyBorder="1" applyAlignment="1">
      <alignment horizontal="center" vertical="center" wrapText="1"/>
    </xf>
    <xf numFmtId="0" fontId="3" fillId="0" borderId="1" xfId="0" applyFont="1" applyBorder="1"/>
    <xf numFmtId="0" fontId="3" fillId="0" borderId="2" xfId="0" applyFont="1" applyBorder="1"/>
    <xf numFmtId="0" fontId="4" fillId="0" borderId="4" xfId="0" applyFont="1" applyBorder="1" applyAlignment="1">
      <alignment horizontal="left" vertical="center" wrapText="1"/>
    </xf>
    <xf numFmtId="0" fontId="24" fillId="0" borderId="7" xfId="0" applyFont="1" applyBorder="1" applyAlignment="1">
      <alignment horizontal="center" vertical="center" wrapText="1"/>
    </xf>
    <xf numFmtId="3" fontId="24" fillId="0" borderId="7" xfId="0" applyNumberFormat="1" applyFont="1" applyBorder="1" applyAlignment="1">
      <alignment horizontal="center" vertical="center" wrapText="1"/>
    </xf>
    <xf numFmtId="0" fontId="31" fillId="6" borderId="7" xfId="0" applyFont="1" applyFill="1" applyBorder="1" applyAlignment="1">
      <alignment horizontal="center" wrapText="1"/>
    </xf>
    <xf numFmtId="0" fontId="2" fillId="0" borderId="4" xfId="0" applyFont="1" applyBorder="1" applyAlignment="1">
      <alignment horizontal="center" vertical="center" wrapText="1"/>
    </xf>
    <xf numFmtId="168" fontId="24" fillId="0" borderId="7" xfId="0" applyNumberFormat="1" applyFont="1" applyBorder="1" applyAlignment="1">
      <alignment horizontal="center" vertical="center" wrapText="1"/>
    </xf>
    <xf numFmtId="0" fontId="24" fillId="0" borderId="12" xfId="0" applyFont="1" applyBorder="1" applyAlignment="1">
      <alignment horizontal="center" vertical="center" wrapText="1"/>
    </xf>
    <xf numFmtId="0" fontId="24" fillId="0" borderId="13" xfId="0" applyFont="1" applyBorder="1" applyAlignment="1">
      <alignment horizontal="center" vertical="center" wrapText="1"/>
    </xf>
    <xf numFmtId="0" fontId="24" fillId="6" borderId="7" xfId="0" applyFont="1" applyFill="1" applyBorder="1" applyAlignment="1">
      <alignment horizontal="center" vertical="top" wrapText="1"/>
    </xf>
    <xf numFmtId="0" fontId="17" fillId="0" borderId="7" xfId="1" applyBorder="1" applyAlignment="1">
      <alignment horizontal="center" vertical="center" wrapText="1"/>
    </xf>
  </cellXfs>
  <cellStyles count="3">
    <cellStyle name="Hipervínculo" xfId="1" builtinId="8"/>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5" Type="http://customschemas.google.com/relationships/workbookmetadata" Target="metadata"/><Relationship Id="rId2" Type="http://schemas.openxmlformats.org/officeDocument/2006/relationships/worksheet" Target="worksheets/sheet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8" Type="http://schemas.openxmlformats.org/officeDocument/2006/relationships/sharedStrings" Target="sharedStrings.xml"/><Relationship Id="rId4" Type="http://schemas.openxmlformats.org/officeDocument/2006/relationships/worksheet" Target="worksheets/sheet4.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monitor-gamer-bowmann-pantalla-24-full-hd-100hz-ips-led-sin-borde-parlantes-incorporados/p/MCO44781307?pdp_filters=deal%3AMCO1424735-1"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exito.com/disco-duro-externo-solido-portable-2tb-crucial-x6-usb-32-102221065-mp/p" TargetMode="External"/><Relationship Id="rId1" Type="http://schemas.openxmlformats.org/officeDocument/2006/relationships/hyperlink" Target="https://www.mercadolibre.com.co/disco-duro-externo-memoria-solido-250gb-portatil-usb-ps4-pc/up/MCOU2993772349?pdp_filters=item_id:MCO2810281186"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exito.com/disco-duro-interno-de-500-gb-101118616-mp/p" TargetMode="External"/><Relationship Id="rId2" Type="http://schemas.openxmlformats.org/officeDocument/2006/relationships/hyperlink" Target="https://www.mercadolibre.com.co/disco-solido-interno-ssd-verbatim-vi550-sata-3-25-1tb/p/MCO35159042" TargetMode="External"/><Relationship Id="rId1" Type="http://schemas.openxmlformats.org/officeDocument/2006/relationships/hyperlink" Target="https://www.alkosto.com/search?text=disco%20duro%20interno"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exito.com/ram-8gb-synology-ddr4-2666-ecc-103301287-mp/p" TargetMode="External"/><Relationship Id="rId1" Type="http://schemas.openxmlformats.org/officeDocument/2006/relationships/hyperlink" Target="https://www.mercadolibre.com.co/memoria-ram-micron-crucial-sodimm-ct16g4sfra32a-1-16-gb-color-verde/p/MCO18934677"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exito.com/teclado-genius-multimedia-slimstar-7230-inalambrico-102736955-mp/p" TargetMode="External"/><Relationship Id="rId2" Type="http://schemas.openxmlformats.org/officeDocument/2006/relationships/hyperlink" Target="https://www.mercadolibre.com.co/teclado-inalambrico-bluetooth-logitech-k250-negro/p/MCO54630038" TargetMode="External"/><Relationship Id="rId1" Type="http://schemas.openxmlformats.org/officeDocument/2006/relationships/hyperlink" Target="https://www.alkosto.com/teclado-hp-alambrico-150-basic-negro/p/196548244195"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exito.com/mouse-logitech-g203-lightsync-100680057-mp/p" TargetMode="External"/><Relationship Id="rId2" Type="http://schemas.openxmlformats.org/officeDocument/2006/relationships/hyperlink" Target="https://www.mercadolibre.com.co/mouse-lenovo-00ph133-essential-black/p/MCO22371806?pdp_filters=item_id:MCO1406365813" TargetMode="External"/><Relationship Id="rId1" Type="http://schemas.openxmlformats.org/officeDocument/2006/relationships/hyperlink" Target="https://www.alkosto.com/mouse-hp-alambrico-optico-100-negro/p/1939054613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6" workbookViewId="0">
      <selection activeCell="D8" sqref="D8"/>
    </sheetView>
  </sheetViews>
  <sheetFormatPr baseColWidth="10" defaultColWidth="12.5546875" defaultRowHeight="15" customHeight="1"/>
  <cols>
    <col min="1" max="3" width="19.109375" customWidth="1"/>
    <col min="4" max="4" width="36" customWidth="1"/>
    <col min="5" max="5" width="22.88671875" customWidth="1"/>
    <col min="6" max="6" width="17" customWidth="1"/>
    <col min="7" max="7" width="18" customWidth="1"/>
    <col min="8" max="8" width="17" customWidth="1"/>
    <col min="9" max="9" width="19.109375" customWidth="1"/>
    <col min="10" max="10" width="38.88671875" customWidth="1"/>
    <col min="11" max="26" width="10" customWidth="1"/>
  </cols>
  <sheetData>
    <row r="1" spans="1:26" ht="12.75" customHeight="1">
      <c r="A1" s="1"/>
    </row>
    <row r="2" spans="1:26" ht="27.75" customHeight="1">
      <c r="D2" s="84" t="s">
        <v>0</v>
      </c>
      <c r="E2" s="85"/>
      <c r="F2" s="85"/>
      <c r="G2" s="85"/>
      <c r="H2" s="85"/>
    </row>
    <row r="3" spans="1:26" ht="12.75" customHeight="1"/>
    <row r="4" spans="1:26" ht="12.75" customHeight="1"/>
    <row r="5" spans="1:26" ht="43.5" customHeight="1">
      <c r="A5" s="86" t="s">
        <v>1</v>
      </c>
      <c r="B5" s="87"/>
      <c r="C5" s="87"/>
      <c r="D5" s="87"/>
      <c r="E5" s="87"/>
      <c r="F5" s="87"/>
      <c r="G5" s="87"/>
      <c r="H5" s="87"/>
      <c r="I5" s="87"/>
      <c r="J5" s="88"/>
    </row>
    <row r="6" spans="1:26" ht="15.75" customHeight="1"/>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147" customHeight="1">
      <c r="A8" s="7" t="s">
        <v>12</v>
      </c>
      <c r="B8" s="18" t="s">
        <v>31</v>
      </c>
      <c r="C8" s="70" t="s">
        <v>32</v>
      </c>
      <c r="D8" s="71" t="s">
        <v>37</v>
      </c>
      <c r="E8" s="72">
        <v>3059000</v>
      </c>
      <c r="F8" s="20">
        <v>581210</v>
      </c>
      <c r="G8" s="21">
        <f>(E8+F8)/3900</f>
        <v>933.38717948717954</v>
      </c>
      <c r="H8" s="62">
        <f>G8*3900</f>
        <v>3640210</v>
      </c>
      <c r="I8" s="73" t="s">
        <v>33</v>
      </c>
      <c r="J8" s="23" t="s">
        <v>34</v>
      </c>
    </row>
    <row r="9" spans="1:26" ht="281.25" customHeight="1">
      <c r="A9" s="7" t="s">
        <v>14</v>
      </c>
      <c r="B9" s="74" t="s">
        <v>35</v>
      </c>
      <c r="C9" s="19" t="s">
        <v>36</v>
      </c>
      <c r="D9" s="75" t="s">
        <v>38</v>
      </c>
      <c r="E9" s="76">
        <v>1759000</v>
      </c>
      <c r="F9" s="20">
        <v>334210</v>
      </c>
      <c r="G9" s="21">
        <f t="shared" ref="G9:G10" si="0">(E9+F9)/3900</f>
        <v>536.72051282051279</v>
      </c>
      <c r="H9" s="62">
        <f t="shared" ref="H9:H10" si="1">G9*3900</f>
        <v>2093210</v>
      </c>
      <c r="I9" s="73" t="s">
        <v>39</v>
      </c>
      <c r="J9" s="77" t="s">
        <v>40</v>
      </c>
    </row>
    <row r="10" spans="1:26" ht="277.2">
      <c r="A10" s="7" t="s">
        <v>15</v>
      </c>
      <c r="B10" s="78" t="s">
        <v>41</v>
      </c>
      <c r="C10" s="19" t="s">
        <v>42</v>
      </c>
      <c r="D10" s="22" t="s">
        <v>43</v>
      </c>
      <c r="E10" s="20">
        <v>1699000</v>
      </c>
      <c r="F10" s="20">
        <v>330810</v>
      </c>
      <c r="G10" s="21">
        <f t="shared" si="0"/>
        <v>520.46410256410252</v>
      </c>
      <c r="H10" s="62">
        <f t="shared" si="1"/>
        <v>2029809.9999999998</v>
      </c>
      <c r="I10" s="8" t="s">
        <v>45</v>
      </c>
      <c r="J10" s="79" t="s">
        <v>44</v>
      </c>
    </row>
    <row r="11" spans="1:26" ht="33" customHeight="1">
      <c r="A11" s="9"/>
      <c r="B11" s="10"/>
      <c r="C11" s="10"/>
      <c r="D11" s="10"/>
      <c r="E11" s="10"/>
      <c r="F11" s="10"/>
      <c r="G11" s="10"/>
      <c r="H11" s="10"/>
      <c r="I11" s="10"/>
      <c r="J11" s="10"/>
    </row>
    <row r="12" spans="1:26" ht="12.75" customHeight="1"/>
    <row r="13" spans="1:26" ht="36" customHeight="1">
      <c r="A13" s="89"/>
      <c r="B13" s="87"/>
      <c r="C13" s="87"/>
      <c r="D13" s="87"/>
      <c r="E13" s="87"/>
      <c r="F13" s="87"/>
      <c r="G13" s="87"/>
      <c r="H13" s="87"/>
      <c r="I13" s="87"/>
      <c r="J13" s="88"/>
    </row>
    <row r="14" spans="1:26" ht="12.75" customHeight="1"/>
    <row r="15" spans="1:26" ht="36.75" customHeight="1"/>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D2:H2"/>
    <mergeCell ref="A5:J5"/>
    <mergeCell ref="A13:J13"/>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0" workbookViewId="0">
      <selection activeCell="J10" sqref="J10"/>
    </sheetView>
  </sheetViews>
  <sheetFormatPr baseColWidth="10" defaultColWidth="12.5546875" defaultRowHeight="15" customHeight="1"/>
  <cols>
    <col min="1" max="3" width="19.109375" customWidth="1"/>
    <col min="4" max="4" width="35.3320312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84" t="s">
        <v>0</v>
      </c>
      <c r="E2" s="85"/>
      <c r="F2" s="85"/>
      <c r="G2" s="85"/>
      <c r="H2" s="85"/>
    </row>
    <row r="3" spans="1:26" ht="12.75" customHeight="1"/>
    <row r="4" spans="1:26" ht="12.75" customHeight="1"/>
    <row r="5" spans="1:26" ht="43.5" customHeight="1">
      <c r="A5" s="86" t="s">
        <v>1</v>
      </c>
      <c r="B5" s="87"/>
      <c r="C5" s="87"/>
      <c r="D5" s="87"/>
      <c r="E5" s="87"/>
      <c r="F5" s="87"/>
      <c r="G5" s="87"/>
      <c r="H5" s="87"/>
      <c r="I5" s="87"/>
      <c r="J5" s="88"/>
    </row>
    <row r="6" spans="1:26" ht="15.75" customHeight="1"/>
    <row r="7" spans="1:26" ht="75.75" customHeight="1">
      <c r="A7" s="26" t="s">
        <v>2</v>
      </c>
      <c r="B7" s="27" t="s">
        <v>17</v>
      </c>
      <c r="C7" s="27" t="s">
        <v>18</v>
      </c>
      <c r="D7" s="27" t="s">
        <v>19</v>
      </c>
      <c r="E7" s="27" t="s">
        <v>20</v>
      </c>
      <c r="F7" s="28" t="s">
        <v>21</v>
      </c>
      <c r="G7" s="29" t="s">
        <v>22</v>
      </c>
      <c r="H7" s="27" t="s">
        <v>9</v>
      </c>
      <c r="I7" s="27" t="s">
        <v>23</v>
      </c>
      <c r="J7" s="27" t="s">
        <v>24</v>
      </c>
      <c r="K7" s="6"/>
      <c r="L7" s="6"/>
      <c r="M7" s="6"/>
      <c r="N7" s="6"/>
      <c r="O7" s="6"/>
      <c r="P7" s="6"/>
      <c r="Q7" s="6"/>
      <c r="R7" s="6"/>
      <c r="S7" s="6"/>
      <c r="T7" s="6"/>
      <c r="U7" s="6"/>
      <c r="V7" s="6"/>
      <c r="W7" s="6"/>
      <c r="X7" s="6"/>
      <c r="Y7" s="6"/>
      <c r="Z7" s="6"/>
    </row>
    <row r="8" spans="1:26" ht="142.19999999999999" customHeight="1">
      <c r="A8" s="27" t="s">
        <v>12</v>
      </c>
      <c r="B8" s="30" t="s">
        <v>41</v>
      </c>
      <c r="C8" s="31" t="s">
        <v>46</v>
      </c>
      <c r="D8" s="80" t="s">
        <v>47</v>
      </c>
      <c r="E8" s="33">
        <v>529930</v>
      </c>
      <c r="F8" s="33">
        <v>100686</v>
      </c>
      <c r="G8" s="34">
        <f>(E8+F8)/3900</f>
        <v>161.69641025641025</v>
      </c>
      <c r="H8" s="63">
        <f>G8*3900</f>
        <v>630616</v>
      </c>
      <c r="I8" s="32" t="s">
        <v>13</v>
      </c>
      <c r="J8" s="35" t="s">
        <v>25</v>
      </c>
    </row>
    <row r="9" spans="1:26" ht="154.80000000000001" customHeight="1">
      <c r="A9" s="27" t="s">
        <v>14</v>
      </c>
      <c r="B9" s="30" t="s">
        <v>48</v>
      </c>
      <c r="C9" s="81" t="s">
        <v>49</v>
      </c>
      <c r="D9" s="82" t="s">
        <v>50</v>
      </c>
      <c r="E9" s="33">
        <v>404700</v>
      </c>
      <c r="F9" s="33">
        <v>77463</v>
      </c>
      <c r="G9" s="34">
        <f>(E9+F9)/3900</f>
        <v>123.63153846153845</v>
      </c>
      <c r="H9" s="63">
        <f t="shared" ref="H9:H10" si="0">G9*3900</f>
        <v>482163</v>
      </c>
      <c r="I9" s="32" t="s">
        <v>13</v>
      </c>
      <c r="J9" s="36" t="s">
        <v>51</v>
      </c>
    </row>
    <row r="10" spans="1:26" ht="184.2" customHeight="1">
      <c r="A10" s="27" t="s">
        <v>15</v>
      </c>
      <c r="B10" s="30" t="s">
        <v>52</v>
      </c>
      <c r="C10" s="37" t="s">
        <v>53</v>
      </c>
      <c r="D10" s="83" t="s">
        <v>54</v>
      </c>
      <c r="E10" s="38">
        <v>322000</v>
      </c>
      <c r="F10" s="33">
        <v>61180</v>
      </c>
      <c r="G10" s="34">
        <f>(E10+F10)/3900</f>
        <v>98.251282051282047</v>
      </c>
      <c r="H10" s="63">
        <f t="shared" si="0"/>
        <v>383180</v>
      </c>
      <c r="I10" s="32" t="s">
        <v>13</v>
      </c>
      <c r="J10" s="36" t="s">
        <v>55</v>
      </c>
    </row>
    <row r="11" spans="1:26" ht="24" customHeight="1">
      <c r="A11" s="9"/>
      <c r="B11" s="10"/>
      <c r="C11" s="10"/>
      <c r="D11" s="10"/>
      <c r="E11" s="10"/>
      <c r="F11" s="10"/>
      <c r="G11" s="10"/>
      <c r="H11" s="10"/>
      <c r="I11" s="10"/>
      <c r="J11" s="10"/>
    </row>
    <row r="12" spans="1:26" ht="12.75" customHeight="1"/>
    <row r="13" spans="1:26" ht="6" customHeight="1">
      <c r="A13" s="89"/>
      <c r="B13" s="87"/>
      <c r="C13" s="87"/>
      <c r="D13" s="87"/>
      <c r="E13" s="87"/>
      <c r="F13" s="87"/>
      <c r="G13" s="87"/>
      <c r="H13" s="87"/>
      <c r="I13" s="87"/>
      <c r="J13" s="88"/>
    </row>
    <row r="14" spans="1:26" ht="12.75" customHeight="1"/>
    <row r="15" spans="1:26" ht="13.2" customHeight="1">
      <c r="A15" s="89"/>
      <c r="B15" s="87"/>
      <c r="C15" s="87"/>
      <c r="D15" s="87"/>
      <c r="E15" s="87"/>
      <c r="F15" s="87"/>
      <c r="G15" s="87"/>
      <c r="H15" s="87"/>
      <c r="I15" s="87"/>
      <c r="J15" s="8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9" r:id="rId1" location="polycard_client=search-nordic&amp;search_layout=grid&amp;position=3&amp;type=product&amp;tracking_id=92660907-021b-4812-b534-a5a34b016a7b&amp;wid=MCO2779135556&amp;sid=search" display="https://www.mercadolibre.com.co/monitor-gamer-bowmann-pantalla-24-full-hd-100hz-ips-led-sin-borde-parlantes-incorporados/p/MCO44781307?pdp_filters=deal%3AMCO1424735-1#polycard_client=search-nordic&amp;search_layout=grid&amp;position=3&amp;type=product&amp;tracking_id=92660907-021b-4812-b534-a5a34b016a7b&amp;wid=MCO2779135556&amp;sid=search" xr:uid="{ABB5B65A-E05C-41AE-8351-404017721949}"/>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9" workbookViewId="0">
      <selection activeCell="K10" sqref="K10"/>
    </sheetView>
  </sheetViews>
  <sheetFormatPr baseColWidth="10" defaultColWidth="12.554687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84" t="s">
        <v>0</v>
      </c>
      <c r="E2" s="85"/>
      <c r="F2" s="85"/>
      <c r="G2" s="85"/>
      <c r="H2" s="85"/>
    </row>
    <row r="3" spans="1:26" ht="12.75" customHeight="1"/>
    <row r="4" spans="1:26" ht="12.75" customHeight="1"/>
    <row r="5" spans="1:26" ht="43.5" customHeight="1">
      <c r="A5" s="86" t="s">
        <v>1</v>
      </c>
      <c r="B5" s="87"/>
      <c r="C5" s="87"/>
      <c r="D5" s="87"/>
      <c r="E5" s="87"/>
      <c r="F5" s="87"/>
      <c r="G5" s="87"/>
      <c r="H5" s="87"/>
      <c r="I5" s="87"/>
      <c r="J5" s="88"/>
    </row>
    <row r="6" spans="1:26" ht="15.75" customHeight="1"/>
    <row r="7" spans="1:26" ht="75.75" customHeight="1">
      <c r="A7" s="12" t="s">
        <v>2</v>
      </c>
      <c r="B7" s="13" t="s">
        <v>3</v>
      </c>
      <c r="C7" s="13" t="s">
        <v>4</v>
      </c>
      <c r="D7" s="13" t="s">
        <v>5</v>
      </c>
      <c r="E7" s="13" t="s">
        <v>27</v>
      </c>
      <c r="F7" s="14" t="s">
        <v>7</v>
      </c>
      <c r="G7" s="15" t="s">
        <v>8</v>
      </c>
      <c r="H7" s="13" t="s">
        <v>9</v>
      </c>
      <c r="I7" s="13" t="s">
        <v>10</v>
      </c>
      <c r="J7" s="13" t="s">
        <v>11</v>
      </c>
      <c r="K7" s="6"/>
      <c r="L7" s="6"/>
      <c r="M7" s="6"/>
      <c r="N7" s="6"/>
      <c r="O7" s="6"/>
      <c r="P7" s="6"/>
      <c r="Q7" s="6"/>
      <c r="R7" s="6"/>
      <c r="S7" s="6"/>
      <c r="T7" s="6"/>
      <c r="U7" s="6"/>
      <c r="V7" s="6"/>
      <c r="W7" s="6"/>
      <c r="X7" s="6"/>
      <c r="Y7" s="6"/>
      <c r="Z7" s="6"/>
    </row>
    <row r="8" spans="1:26" ht="214.8" customHeight="1">
      <c r="A8" s="16" t="s">
        <v>12</v>
      </c>
      <c r="B8" s="39" t="s">
        <v>41</v>
      </c>
      <c r="C8" s="40" t="s">
        <v>56</v>
      </c>
      <c r="D8" s="41" t="s">
        <v>57</v>
      </c>
      <c r="E8" s="42">
        <v>769900</v>
      </c>
      <c r="F8" s="43">
        <v>146281</v>
      </c>
      <c r="G8" s="44">
        <f>(E8+F8)/3900</f>
        <v>234.91820512820513</v>
      </c>
      <c r="H8" s="64">
        <f>G8*3900</f>
        <v>916181</v>
      </c>
      <c r="I8" s="39" t="s">
        <v>28</v>
      </c>
      <c r="J8" s="97" t="s">
        <v>58</v>
      </c>
    </row>
    <row r="9" spans="1:26" ht="129.6" customHeight="1">
      <c r="A9" s="16" t="s">
        <v>14</v>
      </c>
      <c r="B9" s="45" t="s">
        <v>59</v>
      </c>
      <c r="C9" s="98" t="s">
        <v>60</v>
      </c>
      <c r="D9" s="46" t="s">
        <v>61</v>
      </c>
      <c r="E9" s="42">
        <v>160000</v>
      </c>
      <c r="F9" s="39">
        <v>30400</v>
      </c>
      <c r="G9" s="44">
        <f t="shared" ref="G9:G10" si="0">(E9+F9)/3900</f>
        <v>48.820512820512818</v>
      </c>
      <c r="H9" s="64">
        <f t="shared" ref="H9:H10" si="1">G9*3900</f>
        <v>190400</v>
      </c>
      <c r="I9" s="39" t="s">
        <v>28</v>
      </c>
      <c r="J9" s="92"/>
    </row>
    <row r="10" spans="1:26" ht="243" customHeight="1">
      <c r="A10" s="16" t="s">
        <v>15</v>
      </c>
      <c r="B10" s="90" t="s">
        <v>62</v>
      </c>
      <c r="C10" s="98" t="s">
        <v>63</v>
      </c>
      <c r="D10" s="95" t="s">
        <v>64</v>
      </c>
      <c r="E10" s="91">
        <v>798305</v>
      </c>
      <c r="F10" s="90">
        <v>151677</v>
      </c>
      <c r="G10" s="44">
        <f t="shared" si="0"/>
        <v>243.5851282051282</v>
      </c>
      <c r="H10" s="64">
        <f t="shared" si="1"/>
        <v>949982</v>
      </c>
      <c r="I10" s="39" t="s">
        <v>28</v>
      </c>
      <c r="J10" s="92"/>
    </row>
    <row r="11" spans="1:26" ht="15" hidden="1" customHeight="1">
      <c r="A11" s="17"/>
      <c r="B11" s="90"/>
      <c r="C11" s="39"/>
      <c r="D11" s="96"/>
      <c r="E11" s="91"/>
      <c r="F11" s="90"/>
      <c r="G11" s="47"/>
      <c r="H11" s="47"/>
      <c r="I11" s="47"/>
      <c r="J11" s="47"/>
    </row>
    <row r="12" spans="1:26" ht="12.75" customHeight="1"/>
    <row r="13" spans="1:26" ht="138.75" customHeight="1">
      <c r="A13" s="89"/>
      <c r="B13" s="87"/>
      <c r="C13" s="87"/>
      <c r="D13" s="87"/>
      <c r="E13" s="87"/>
      <c r="F13" s="87"/>
      <c r="G13" s="87"/>
      <c r="H13" s="87"/>
      <c r="I13" s="87"/>
      <c r="J13" s="88"/>
    </row>
    <row r="14" spans="1:26" ht="12.75" customHeight="1"/>
    <row r="15" spans="1:26" ht="75" customHeight="1">
      <c r="A15" s="89"/>
      <c r="B15" s="87"/>
      <c r="C15" s="87"/>
      <c r="D15" s="87"/>
      <c r="E15" s="87"/>
      <c r="F15" s="87"/>
      <c r="G15" s="87"/>
      <c r="H15" s="87"/>
      <c r="I15" s="87"/>
      <c r="J15" s="8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D2:H2"/>
    <mergeCell ref="A5:J5"/>
    <mergeCell ref="A13:J13"/>
    <mergeCell ref="A15:J15"/>
    <mergeCell ref="B10:B11"/>
    <mergeCell ref="D10:D11"/>
    <mergeCell ref="E10:E11"/>
    <mergeCell ref="F10:F11"/>
    <mergeCell ref="J9:J10"/>
  </mergeCells>
  <hyperlinks>
    <hyperlink ref="C9" r:id="rId1" location="is_advertising=true&amp;searchVariation=MCOU2993772349&amp;backend_model=search-backend&amp;position=11&amp;search_layout=stack&amp;type=pad&amp;tracking_id=cd47c1c6-7328-4654-971f-a640c891d29c&amp;ad_domain=VQCATCORE_LST&amp;ad_position=11&amp;ad_click_id=YmQ4YzIzZmItMDgxOC00NDhiLTllZDYtYmRiNTg1ZDVmMzkz" display="https://www.mercadolibre.com.co/disco-duro-externo-memoria-solido-250gb-portatil-usb-ps4-pc/up/MCOU2993772349?pdp_filters=item_id:MCO2810281186#is_advertising=true&amp;searchVariation=MCOU2993772349&amp;backend_model=search-backend&amp;position=11&amp;search_layout=stack&amp;type=pad&amp;tracking_id=cd47c1c6-7328-4654-971f-a640c891d29c&amp;ad_domain=VQCATCORE_LST&amp;ad_position=11&amp;ad_click_id=YmQ4YzIzZmItMDgxOC00NDhiLTllZDYtYmRiNTg1ZDVmMzkz" xr:uid="{297E0D69-C355-44A8-B795-C7054C7EC09B}"/>
    <hyperlink ref="C10" r:id="rId2" xr:uid="{95CABF90-AAB7-48E8-8CDD-6E880F41872C}"/>
  </hyperlinks>
  <pageMargins left="0.7" right="0.7" top="0.75" bottom="0.75" header="0" footer="0"/>
  <pageSetup orientation="landscap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4" workbookViewId="0">
      <selection activeCell="A15" sqref="A15:J15"/>
    </sheetView>
  </sheetViews>
  <sheetFormatPr baseColWidth="10" defaultColWidth="12.554687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84" t="s">
        <v>0</v>
      </c>
      <c r="E2" s="85"/>
      <c r="F2" s="85"/>
      <c r="G2" s="85"/>
      <c r="H2" s="85"/>
    </row>
    <row r="3" spans="1:26" ht="12.75" customHeight="1"/>
    <row r="4" spans="1:26" ht="12.75" customHeight="1"/>
    <row r="5" spans="1:26" ht="43.5" customHeight="1">
      <c r="A5" s="86" t="s">
        <v>1</v>
      </c>
      <c r="B5" s="87"/>
      <c r="C5" s="87"/>
      <c r="D5" s="87"/>
      <c r="E5" s="87"/>
      <c r="F5" s="87"/>
      <c r="G5" s="87"/>
      <c r="H5" s="87"/>
      <c r="I5" s="87"/>
      <c r="J5" s="88"/>
    </row>
    <row r="6" spans="1:26" ht="15.75" customHeight="1"/>
    <row r="7" spans="1:26" ht="75.75" customHeight="1">
      <c r="A7" s="2" t="s">
        <v>2</v>
      </c>
      <c r="B7" s="13" t="s">
        <v>3</v>
      </c>
      <c r="C7" s="13" t="s">
        <v>4</v>
      </c>
      <c r="D7" s="13" t="s">
        <v>5</v>
      </c>
      <c r="E7" s="13" t="s">
        <v>27</v>
      </c>
      <c r="F7" s="14" t="s">
        <v>7</v>
      </c>
      <c r="G7" s="15" t="s">
        <v>8</v>
      </c>
      <c r="H7" s="13" t="s">
        <v>9</v>
      </c>
      <c r="I7" s="13" t="s">
        <v>10</v>
      </c>
      <c r="J7" s="13" t="s">
        <v>11</v>
      </c>
      <c r="K7" s="6"/>
      <c r="L7" s="6"/>
      <c r="M7" s="6"/>
      <c r="N7" s="6"/>
      <c r="O7" s="6"/>
      <c r="P7" s="6"/>
      <c r="Q7" s="6"/>
      <c r="R7" s="6"/>
      <c r="S7" s="6"/>
      <c r="T7" s="6"/>
      <c r="U7" s="6"/>
      <c r="V7" s="6"/>
      <c r="W7" s="6"/>
      <c r="X7" s="6"/>
      <c r="Y7" s="6"/>
      <c r="Z7" s="6"/>
    </row>
    <row r="8" spans="1:26" ht="80.400000000000006" customHeight="1">
      <c r="A8" s="24" t="s">
        <v>12</v>
      </c>
      <c r="B8" s="39" t="s">
        <v>41</v>
      </c>
      <c r="C8" s="98" t="s">
        <v>65</v>
      </c>
      <c r="D8" s="41" t="s">
        <v>66</v>
      </c>
      <c r="E8" s="49">
        <v>899900</v>
      </c>
      <c r="F8" s="50">
        <f>E8*1.19</f>
        <v>1070881</v>
      </c>
      <c r="G8" s="48">
        <f>(E8+F8)/3900</f>
        <v>505.32846153846151</v>
      </c>
      <c r="H8" s="64">
        <f>G8*3900</f>
        <v>1970781</v>
      </c>
      <c r="I8" s="39"/>
      <c r="J8" s="41" t="s">
        <v>29</v>
      </c>
    </row>
    <row r="9" spans="1:26" ht="50.25" customHeight="1">
      <c r="A9" s="24" t="s">
        <v>14</v>
      </c>
      <c r="B9" s="39" t="s">
        <v>59</v>
      </c>
      <c r="C9" s="98" t="s">
        <v>67</v>
      </c>
      <c r="D9" s="51" t="s">
        <v>68</v>
      </c>
      <c r="E9" s="49">
        <v>399000</v>
      </c>
      <c r="F9" s="50">
        <v>474810</v>
      </c>
      <c r="G9" s="48">
        <f t="shared" ref="G9:G10" si="0">(E9+F9)/3900</f>
        <v>224.05384615384617</v>
      </c>
      <c r="H9" s="64">
        <f t="shared" ref="H9:H10" si="1">G9*3900</f>
        <v>873810</v>
      </c>
      <c r="I9" s="39"/>
      <c r="J9" s="41"/>
    </row>
    <row r="10" spans="1:26" ht="50.25" customHeight="1">
      <c r="A10" s="24" t="s">
        <v>15</v>
      </c>
      <c r="B10" s="39" t="s">
        <v>69</v>
      </c>
      <c r="C10" s="98" t="s">
        <v>70</v>
      </c>
      <c r="D10" s="39" t="s">
        <v>71</v>
      </c>
      <c r="E10" s="50">
        <v>418805</v>
      </c>
      <c r="F10" s="50">
        <f t="shared" ref="F9:F10" si="2">E10*1.19</f>
        <v>498377.94999999995</v>
      </c>
      <c r="G10" s="48">
        <f t="shared" si="0"/>
        <v>235.17511538461537</v>
      </c>
      <c r="H10" s="64">
        <f t="shared" si="1"/>
        <v>917182.95</v>
      </c>
      <c r="I10" s="39" t="s">
        <v>28</v>
      </c>
      <c r="J10" s="39"/>
    </row>
    <row r="11" spans="1:26" ht="15" hidden="1" customHeight="1">
      <c r="A11" s="9"/>
      <c r="B11" s="25"/>
      <c r="C11" s="25"/>
      <c r="D11" s="25"/>
      <c r="E11" s="25"/>
      <c r="F11" s="25"/>
      <c r="G11" s="25"/>
      <c r="H11" s="25"/>
      <c r="I11" s="25"/>
      <c r="J11" s="25"/>
    </row>
    <row r="12" spans="1:26" ht="12.75" customHeight="1"/>
    <row r="13" spans="1:26" ht="138.75" customHeight="1">
      <c r="A13" s="89"/>
      <c r="B13" s="87"/>
      <c r="C13" s="87"/>
      <c r="D13" s="87"/>
      <c r="E13" s="87"/>
      <c r="F13" s="87"/>
      <c r="G13" s="87"/>
      <c r="H13" s="87"/>
      <c r="I13" s="87"/>
      <c r="J13" s="88"/>
    </row>
    <row r="14" spans="1:26" ht="12.75" customHeight="1"/>
    <row r="15" spans="1:26" ht="75" customHeight="1">
      <c r="A15" s="89"/>
      <c r="B15" s="87"/>
      <c r="C15" s="87"/>
      <c r="D15" s="87"/>
      <c r="E15" s="87"/>
      <c r="F15" s="87"/>
      <c r="G15" s="87"/>
      <c r="H15" s="87"/>
      <c r="I15" s="87"/>
      <c r="J15" s="8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1BD157AC-93C5-4517-9282-52509EC0F6BA}"/>
    <hyperlink ref="C9" r:id="rId2" location="polycard_client=search-nordic&amp;search_layout=stack&amp;position=41&amp;type=product&amp;tracking_id=6d799dea-c4c3-4b6b-bdd2-2c8864ea107c&amp;wid=MCO3251395298&amp;sid=search" xr:uid="{8153416B-A092-4A44-A36F-9C0409AFC9A4}"/>
    <hyperlink ref="C10" r:id="rId3" xr:uid="{3A2C761D-5DD1-42EB-BF6D-20FAF58C6A89}"/>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4" workbookViewId="0">
      <selection activeCell="I9" sqref="I9"/>
    </sheetView>
  </sheetViews>
  <sheetFormatPr baseColWidth="10" defaultColWidth="12.554687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84" t="s">
        <v>0</v>
      </c>
      <c r="E2" s="85"/>
      <c r="F2" s="85"/>
      <c r="G2" s="85"/>
      <c r="H2" s="85"/>
    </row>
    <row r="3" spans="1:26" ht="12.75" customHeight="1"/>
    <row r="4" spans="1:26" ht="12.75" customHeight="1"/>
    <row r="5" spans="1:26" ht="43.5" customHeight="1">
      <c r="A5" s="86" t="s">
        <v>1</v>
      </c>
      <c r="B5" s="87"/>
      <c r="C5" s="87"/>
      <c r="D5" s="87"/>
      <c r="E5" s="87"/>
      <c r="F5" s="87"/>
      <c r="G5" s="87"/>
      <c r="H5" s="87"/>
      <c r="I5" s="87"/>
      <c r="J5" s="88"/>
    </row>
    <row r="6" spans="1:26" ht="15.75" customHeight="1"/>
    <row r="7" spans="1:26" ht="75.75" customHeight="1">
      <c r="A7" s="2" t="s">
        <v>2</v>
      </c>
      <c r="B7" s="13" t="s">
        <v>3</v>
      </c>
      <c r="C7" s="13" t="s">
        <v>4</v>
      </c>
      <c r="D7" s="13" t="s">
        <v>5</v>
      </c>
      <c r="E7" s="13" t="s">
        <v>27</v>
      </c>
      <c r="F7" s="14" t="s">
        <v>7</v>
      </c>
      <c r="G7" s="15" t="s">
        <v>8</v>
      </c>
      <c r="H7" s="13" t="s">
        <v>9</v>
      </c>
      <c r="I7" s="13" t="s">
        <v>10</v>
      </c>
      <c r="J7" s="13" t="s">
        <v>11</v>
      </c>
      <c r="K7" s="6"/>
      <c r="L7" s="6"/>
      <c r="M7" s="6"/>
      <c r="N7" s="6"/>
      <c r="O7" s="6"/>
      <c r="P7" s="6"/>
      <c r="Q7" s="6"/>
      <c r="R7" s="6"/>
      <c r="S7" s="6"/>
      <c r="T7" s="6"/>
      <c r="U7" s="6"/>
      <c r="V7" s="6"/>
      <c r="W7" s="6"/>
      <c r="X7" s="6"/>
      <c r="Y7" s="6"/>
      <c r="Z7" s="6"/>
    </row>
    <row r="8" spans="1:26" ht="50.25" customHeight="1">
      <c r="A8" s="24" t="s">
        <v>12</v>
      </c>
      <c r="B8" s="39" t="s">
        <v>72</v>
      </c>
      <c r="C8" s="98" t="s">
        <v>73</v>
      </c>
      <c r="D8" s="45" t="s">
        <v>74</v>
      </c>
      <c r="E8" s="50">
        <v>340000</v>
      </c>
      <c r="F8" s="50">
        <f>E8*1.19</f>
        <v>404600</v>
      </c>
      <c r="G8" s="52">
        <f>(F8+E8)/3900</f>
        <v>190.92307692307693</v>
      </c>
      <c r="H8" s="64">
        <f>G8*3900</f>
        <v>744600</v>
      </c>
      <c r="I8" s="39" t="s">
        <v>13</v>
      </c>
      <c r="J8" s="41" t="s">
        <v>75</v>
      </c>
    </row>
    <row r="9" spans="1:26" ht="50.25" customHeight="1">
      <c r="A9" s="24" t="s">
        <v>14</v>
      </c>
      <c r="B9" s="45" t="s">
        <v>69</v>
      </c>
      <c r="C9" s="98" t="s">
        <v>76</v>
      </c>
      <c r="D9" s="41" t="s">
        <v>77</v>
      </c>
      <c r="E9" s="49">
        <v>1266550</v>
      </c>
      <c r="F9" s="50">
        <f t="shared" ref="F9:F10" si="0">E9*1.19</f>
        <v>1507194.5</v>
      </c>
      <c r="G9" s="52">
        <f t="shared" ref="G9:G10" si="1">(F9+E9)/3900</f>
        <v>711.21653846153845</v>
      </c>
      <c r="H9" s="64">
        <f t="shared" ref="H9:H10" si="2">G9*3900</f>
        <v>2773744.5</v>
      </c>
      <c r="I9" s="39" t="s">
        <v>13</v>
      </c>
      <c r="J9" s="41" t="s">
        <v>78</v>
      </c>
    </row>
    <row r="10" spans="1:26" ht="50.25" customHeight="1">
      <c r="A10" s="24" t="s">
        <v>15</v>
      </c>
      <c r="B10" s="39"/>
      <c r="C10" s="40"/>
      <c r="D10" s="53"/>
      <c r="E10" s="49"/>
      <c r="F10" s="50">
        <f t="shared" si="0"/>
        <v>0</v>
      </c>
      <c r="G10" s="52">
        <f t="shared" si="1"/>
        <v>0</v>
      </c>
      <c r="H10" s="64">
        <f t="shared" si="2"/>
        <v>0</v>
      </c>
      <c r="I10" s="39" t="s">
        <v>13</v>
      </c>
      <c r="J10" s="54" t="s">
        <v>79</v>
      </c>
    </row>
    <row r="11" spans="1:26" ht="15" hidden="1" customHeight="1">
      <c r="A11" s="9"/>
      <c r="B11" s="25"/>
      <c r="C11" s="25"/>
      <c r="D11" s="25"/>
      <c r="E11" s="25"/>
      <c r="F11" s="25"/>
      <c r="G11" s="25"/>
      <c r="H11" s="25"/>
      <c r="I11" s="25"/>
      <c r="J11" s="25"/>
    </row>
    <row r="12" spans="1:26" ht="12.75" customHeight="1"/>
    <row r="13" spans="1:26" ht="138.75" customHeight="1">
      <c r="A13" s="89" t="s">
        <v>26</v>
      </c>
      <c r="B13" s="87"/>
      <c r="C13" s="87"/>
      <c r="D13" s="87"/>
      <c r="E13" s="87"/>
      <c r="F13" s="87"/>
      <c r="G13" s="87"/>
      <c r="H13" s="87"/>
      <c r="I13" s="87"/>
      <c r="J13" s="88"/>
    </row>
    <row r="14" spans="1:26" ht="12.75" customHeight="1"/>
    <row r="15" spans="1:26" ht="75" customHeight="1">
      <c r="A15" s="89" t="s">
        <v>16</v>
      </c>
      <c r="B15" s="87"/>
      <c r="C15" s="87"/>
      <c r="D15" s="87"/>
      <c r="E15" s="87"/>
      <c r="F15" s="87"/>
      <c r="G15" s="87"/>
      <c r="H15" s="87"/>
      <c r="I15" s="87"/>
      <c r="J15" s="8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polycard_client=search-nordic&amp;search_layout=stack&amp;position=3&amp;type=product&amp;tracking_id=fd0df773-2ad2-4d06-b778-ca96f491ad34&amp;wid=MCO1659773279&amp;sid=search" display="https://www.mercadolibre.com.co/memoria-ram-micron-crucial-sodimm-ct16g4sfra32a-1-16-gb-color-verde/p/MCO18934677#polycard_client=search-nordic&amp;search_layout=stack&amp;position=3&amp;type=product&amp;tracking_id=fd0df773-2ad2-4d06-b778-ca96f491ad34&amp;wid=MCO1659773279&amp;sid=search" xr:uid="{3E19555D-97D4-4CA0-97D8-95ADE3291EF9}"/>
    <hyperlink ref="C9" r:id="rId2" xr:uid="{4094F189-7485-4D7D-81DC-6D6A488EB846}"/>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4" workbookViewId="0">
      <selection activeCell="I10" sqref="I10"/>
    </sheetView>
  </sheetViews>
  <sheetFormatPr baseColWidth="10" defaultColWidth="12.554687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84" t="s">
        <v>0</v>
      </c>
      <c r="E2" s="85"/>
      <c r="F2" s="85"/>
      <c r="G2" s="85"/>
      <c r="H2" s="85"/>
    </row>
    <row r="3" spans="1:26" ht="12.75" customHeight="1"/>
    <row r="4" spans="1:26" ht="12.75" customHeight="1"/>
    <row r="5" spans="1:26" ht="43.5" customHeight="1">
      <c r="A5" s="93">
        <v>0</v>
      </c>
      <c r="B5" s="87"/>
      <c r="C5" s="87"/>
      <c r="D5" s="87"/>
      <c r="E5" s="87"/>
      <c r="F5" s="87"/>
      <c r="G5" s="87"/>
      <c r="H5" s="87"/>
      <c r="I5" s="87"/>
      <c r="J5" s="88"/>
    </row>
    <row r="6" spans="1:26" ht="15.75" customHeight="1"/>
    <row r="7" spans="1:26" ht="75.75" customHeight="1">
      <c r="A7" s="2" t="s">
        <v>2</v>
      </c>
      <c r="B7" s="13" t="s">
        <v>3</v>
      </c>
      <c r="C7" s="13" t="s">
        <v>4</v>
      </c>
      <c r="D7" s="13" t="s">
        <v>5</v>
      </c>
      <c r="E7" s="13" t="s">
        <v>27</v>
      </c>
      <c r="F7" s="14" t="s">
        <v>7</v>
      </c>
      <c r="G7" s="15" t="s">
        <v>8</v>
      </c>
      <c r="H7" s="13" t="s">
        <v>9</v>
      </c>
      <c r="I7" s="13" t="s">
        <v>10</v>
      </c>
      <c r="J7" s="13" t="s">
        <v>11</v>
      </c>
      <c r="K7" s="6"/>
      <c r="L7" s="6"/>
      <c r="M7" s="6"/>
      <c r="N7" s="6"/>
      <c r="O7" s="6"/>
      <c r="P7" s="6"/>
      <c r="Q7" s="6"/>
      <c r="R7" s="6"/>
      <c r="S7" s="6"/>
      <c r="T7" s="6"/>
      <c r="U7" s="6"/>
      <c r="V7" s="6"/>
      <c r="W7" s="6"/>
      <c r="X7" s="6"/>
      <c r="Y7" s="6"/>
      <c r="Z7" s="6"/>
    </row>
    <row r="8" spans="1:26" ht="50.25" customHeight="1">
      <c r="A8" s="24" t="s">
        <v>12</v>
      </c>
      <c r="B8" s="39" t="s">
        <v>41</v>
      </c>
      <c r="C8" s="98" t="s">
        <v>80</v>
      </c>
      <c r="D8" s="46" t="s">
        <v>81</v>
      </c>
      <c r="E8" s="60">
        <v>59900</v>
      </c>
      <c r="F8" s="50">
        <f>E8*1.19</f>
        <v>71281</v>
      </c>
      <c r="G8" s="44">
        <f>(E8+F8)/3900</f>
        <v>33.636153846153846</v>
      </c>
      <c r="H8" s="64">
        <f>G8*3900</f>
        <v>131181</v>
      </c>
      <c r="I8" s="39" t="s">
        <v>82</v>
      </c>
      <c r="J8" s="56"/>
    </row>
    <row r="9" spans="1:26" ht="50.25" customHeight="1">
      <c r="A9" s="24" t="s">
        <v>14</v>
      </c>
      <c r="B9" s="45" t="s">
        <v>72</v>
      </c>
      <c r="C9" s="98" t="s">
        <v>83</v>
      </c>
      <c r="D9" s="51" t="s">
        <v>84</v>
      </c>
      <c r="E9" s="57">
        <v>99900</v>
      </c>
      <c r="F9" s="50">
        <f>E9*1.19</f>
        <v>118881</v>
      </c>
      <c r="G9" s="44">
        <f t="shared" ref="G9:G10" si="0">(E9+F9)/3900</f>
        <v>56.097692307692306</v>
      </c>
      <c r="H9" s="64">
        <f t="shared" ref="H9:H10" si="1">G9*3900</f>
        <v>218781</v>
      </c>
      <c r="I9" s="39" t="s">
        <v>85</v>
      </c>
      <c r="J9" s="58"/>
    </row>
    <row r="10" spans="1:26" ht="50.25" customHeight="1">
      <c r="A10" s="24" t="s">
        <v>15</v>
      </c>
      <c r="B10" s="90" t="s">
        <v>69</v>
      </c>
      <c r="C10" s="98" t="s">
        <v>86</v>
      </c>
      <c r="D10" s="90" t="s">
        <v>87</v>
      </c>
      <c r="E10" s="94">
        <v>50900</v>
      </c>
      <c r="F10" s="94">
        <f>E10*1.19</f>
        <v>60571</v>
      </c>
      <c r="G10" s="44">
        <f t="shared" si="0"/>
        <v>28.582307692307694</v>
      </c>
      <c r="H10" s="64">
        <f t="shared" si="1"/>
        <v>111471</v>
      </c>
      <c r="I10" s="39" t="s">
        <v>88</v>
      </c>
      <c r="J10" s="59"/>
    </row>
    <row r="11" spans="1:26" ht="15" hidden="1" customHeight="1">
      <c r="A11" s="55"/>
      <c r="B11" s="90"/>
      <c r="C11" s="39"/>
      <c r="D11" s="90"/>
      <c r="E11" s="94"/>
      <c r="F11" s="94"/>
      <c r="G11" s="47"/>
      <c r="H11" s="47"/>
      <c r="I11" s="47"/>
      <c r="J11" s="47"/>
    </row>
    <row r="12" spans="1:26" ht="12.75" customHeight="1"/>
    <row r="13" spans="1:26" ht="138.75" customHeight="1">
      <c r="A13" s="89" t="s">
        <v>26</v>
      </c>
      <c r="B13" s="87"/>
      <c r="C13" s="87"/>
      <c r="D13" s="87"/>
      <c r="E13" s="87"/>
      <c r="F13" s="87"/>
      <c r="G13" s="87"/>
      <c r="H13" s="87"/>
      <c r="I13" s="87"/>
      <c r="J13" s="88"/>
    </row>
    <row r="14" spans="1:26" ht="12.75" customHeight="1"/>
    <row r="15" spans="1:26" ht="75" customHeight="1">
      <c r="A15" s="89" t="s">
        <v>16</v>
      </c>
      <c r="B15" s="87"/>
      <c r="C15" s="87"/>
      <c r="D15" s="87"/>
      <c r="E15" s="87"/>
      <c r="F15" s="87"/>
      <c r="G15" s="87"/>
      <c r="H15" s="87"/>
      <c r="I15" s="87"/>
      <c r="J15" s="8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A13:J13"/>
    <mergeCell ref="A15:J15"/>
    <mergeCell ref="B10:B11"/>
    <mergeCell ref="D10:D11"/>
    <mergeCell ref="E10:E11"/>
    <mergeCell ref="F10:F11"/>
  </mergeCells>
  <hyperlinks>
    <hyperlink ref="C8" r:id="rId1" xr:uid="{9AE07E4D-5687-4E48-B84A-5008DA89242F}"/>
    <hyperlink ref="C9" r:id="rId2" location="polycard_client=search-nordic&amp;search_layout=stack&amp;position=9&amp;type=product&amp;tracking_id=cdb911b7-8c32-4b7b-a987-08fa2f048c00&amp;wid=MCO1758870507&amp;sid=search" xr:uid="{21C3F560-6E8C-4D77-BBED-50D93A2FBFAE}"/>
    <hyperlink ref="C10" r:id="rId3" xr:uid="{057D00AA-FAC6-437C-846E-352A5F1CFE2D}"/>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abSelected="1" topLeftCell="A7" workbookViewId="0">
      <selection activeCell="A15" sqref="A15:J15"/>
    </sheetView>
  </sheetViews>
  <sheetFormatPr baseColWidth="10" defaultColWidth="12.554687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84" t="s">
        <v>0</v>
      </c>
      <c r="E2" s="85"/>
      <c r="F2" s="85"/>
      <c r="G2" s="85"/>
      <c r="H2" s="85"/>
    </row>
    <row r="3" spans="1:26" ht="12.75" customHeight="1"/>
    <row r="4" spans="1:26" ht="12.75" customHeight="1"/>
    <row r="5" spans="1:26" ht="43.5" customHeight="1">
      <c r="A5" s="86" t="s">
        <v>1</v>
      </c>
      <c r="B5" s="87"/>
      <c r="C5" s="87"/>
      <c r="D5" s="87"/>
      <c r="E5" s="87"/>
      <c r="F5" s="87"/>
      <c r="G5" s="87"/>
      <c r="H5" s="87"/>
      <c r="I5" s="87"/>
      <c r="J5" s="88"/>
    </row>
    <row r="6" spans="1:26" ht="15.75" customHeight="1"/>
    <row r="7" spans="1:26" ht="75.75" customHeight="1">
      <c r="A7" s="2" t="s">
        <v>2</v>
      </c>
      <c r="B7" s="13" t="s">
        <v>3</v>
      </c>
      <c r="C7" s="13" t="s">
        <v>4</v>
      </c>
      <c r="D7" s="13" t="s">
        <v>5</v>
      </c>
      <c r="E7" s="13" t="s">
        <v>27</v>
      </c>
      <c r="F7" s="14" t="s">
        <v>7</v>
      </c>
      <c r="G7" s="15" t="s">
        <v>30</v>
      </c>
      <c r="H7" s="13" t="s">
        <v>9</v>
      </c>
      <c r="I7" s="13" t="s">
        <v>10</v>
      </c>
      <c r="J7" s="13" t="s">
        <v>11</v>
      </c>
      <c r="K7" s="6"/>
      <c r="L7" s="6"/>
      <c r="M7" s="6"/>
      <c r="N7" s="6"/>
      <c r="O7" s="6"/>
      <c r="P7" s="6"/>
      <c r="Q7" s="6"/>
      <c r="R7" s="6"/>
      <c r="S7" s="6"/>
      <c r="T7" s="6"/>
      <c r="U7" s="6"/>
      <c r="V7" s="6"/>
      <c r="W7" s="6"/>
      <c r="X7" s="6"/>
      <c r="Y7" s="6"/>
      <c r="Z7" s="6"/>
    </row>
    <row r="8" spans="1:26" ht="50.25" customHeight="1">
      <c r="A8" s="24" t="s">
        <v>12</v>
      </c>
      <c r="B8" s="39" t="s">
        <v>41</v>
      </c>
      <c r="C8" s="98" t="s">
        <v>89</v>
      </c>
      <c r="D8" s="61" t="s">
        <v>90</v>
      </c>
      <c r="E8" s="49">
        <v>29900</v>
      </c>
      <c r="F8" s="50">
        <f>E8*1.19</f>
        <v>35581</v>
      </c>
      <c r="G8" s="44">
        <f>(E8+F8)/3900</f>
        <v>16.79</v>
      </c>
      <c r="H8" s="65">
        <f>G8*3900</f>
        <v>65481</v>
      </c>
      <c r="I8" s="69" t="s">
        <v>28</v>
      </c>
      <c r="J8" s="66" t="s">
        <v>79</v>
      </c>
    </row>
    <row r="9" spans="1:26" ht="50.25" customHeight="1">
      <c r="A9" s="24" t="s">
        <v>14</v>
      </c>
      <c r="B9" s="45" t="s">
        <v>72</v>
      </c>
      <c r="C9" s="98" t="s">
        <v>91</v>
      </c>
      <c r="D9" s="39" t="s">
        <v>92</v>
      </c>
      <c r="E9" s="50">
        <v>27976</v>
      </c>
      <c r="F9" s="50">
        <f t="shared" ref="F9:F10" si="0">E9*1.19</f>
        <v>33291.439999999995</v>
      </c>
      <c r="G9" s="44">
        <f t="shared" ref="G9:G10" si="1">(E9+F9)/3900</f>
        <v>15.709599999999998</v>
      </c>
      <c r="H9" s="65">
        <f>G9*3900</f>
        <v>61267.439999999995</v>
      </c>
      <c r="I9" s="69" t="s">
        <v>28</v>
      </c>
      <c r="J9" s="67"/>
    </row>
    <row r="10" spans="1:26" ht="50.25" customHeight="1">
      <c r="A10" s="24" t="s">
        <v>15</v>
      </c>
      <c r="B10" s="39" t="s">
        <v>69</v>
      </c>
      <c r="C10" s="98" t="s">
        <v>93</v>
      </c>
      <c r="D10" s="39" t="s">
        <v>94</v>
      </c>
      <c r="E10" s="49">
        <v>89000</v>
      </c>
      <c r="F10" s="50">
        <f t="shared" si="0"/>
        <v>105910</v>
      </c>
      <c r="G10" s="44">
        <f t="shared" si="1"/>
        <v>49.976923076923079</v>
      </c>
      <c r="H10" s="65">
        <f>G10*3900</f>
        <v>194910</v>
      </c>
      <c r="I10" s="69" t="s">
        <v>28</v>
      </c>
      <c r="J10" s="68"/>
    </row>
    <row r="11" spans="1:26" ht="15" hidden="1" customHeight="1">
      <c r="A11" s="9"/>
      <c r="B11" s="25"/>
      <c r="C11" s="25"/>
      <c r="D11" s="25"/>
      <c r="E11" s="25"/>
      <c r="F11" s="25"/>
      <c r="G11" s="25"/>
      <c r="H11" s="25"/>
      <c r="I11" t="s">
        <v>28</v>
      </c>
      <c r="J11" s="25"/>
    </row>
    <row r="12" spans="1:26" ht="12.75" customHeight="1"/>
    <row r="13" spans="1:26" ht="138.75" customHeight="1">
      <c r="A13" s="89"/>
      <c r="B13" s="87"/>
      <c r="C13" s="87"/>
      <c r="D13" s="87"/>
      <c r="E13" s="87"/>
      <c r="F13" s="87"/>
      <c r="G13" s="87"/>
      <c r="H13" s="87"/>
      <c r="I13" s="87"/>
      <c r="J13" s="88"/>
    </row>
    <row r="14" spans="1:26" ht="12.75" customHeight="1"/>
    <row r="15" spans="1:26" ht="75" customHeight="1">
      <c r="A15" s="89"/>
      <c r="B15" s="87"/>
      <c r="C15" s="87"/>
      <c r="D15" s="87"/>
      <c r="E15" s="87"/>
      <c r="F15" s="87"/>
      <c r="G15" s="87"/>
      <c r="H15" s="87"/>
      <c r="I15" s="87"/>
      <c r="J15" s="8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B01995F1-BE1E-4A72-9EC7-FF8155D080F9}"/>
    <hyperlink ref="C9" r:id="rId2" location="is_advertising=true&amp;searchVariation=MCO22371806&amp;backend_model=search-backend&amp;position=2&amp;search_layout=stack&amp;type=pad&amp;tracking_id=8c49c47d-b6ce-49c5-954a-5f5a79399c1d&amp;ad_domain=VQCATCORE_LST&amp;ad_position=2&amp;ad_click_id=MjVkY2E5NGItMDNlMy00MjkwLTgwZjQtOWNhZmYwMDg0NjBh" display="https://www.mercadolibre.com.co/mouse-lenovo-00ph133-essential-black/p/MCO22371806?pdp_filters=item_id:MCO1406365813#is_advertising=true&amp;searchVariation=MCO22371806&amp;backend_model=search-backend&amp;position=2&amp;search_layout=stack&amp;type=pad&amp;tracking_id=8c49c47d-b6ce-49c5-954a-5f5a79399c1d&amp;ad_domain=VQCATCORE_LST&amp;ad_position=2&amp;ad_click_id=MjVkY2E5NGItMDNlMy00MjkwLTgwZjQtOWNhZmYwMDg0NjBh" xr:uid="{74D730CB-8D72-4341-8112-BEEEA502C333}"/>
    <hyperlink ref="C10" r:id="rId3" xr:uid="{6EA34F18-9B38-4ECE-891C-1124BBFF2B04}"/>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Torre admin</vt:lpstr>
      <vt:lpstr>Monitor Admin</vt:lpstr>
      <vt:lpstr>Disco Sólido Admin</vt:lpstr>
      <vt:lpstr>Disco duro interno Admin</vt:lpstr>
      <vt:lpstr>RAM Admin</vt:lpstr>
      <vt:lpstr>Teclado Admin</vt:lpstr>
      <vt:lpstr>Mouse Admin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José pachon</cp:lastModifiedBy>
  <cp:revision/>
  <dcterms:created xsi:type="dcterms:W3CDTF">2010-11-08T17:12:41Z</dcterms:created>
  <dcterms:modified xsi:type="dcterms:W3CDTF">2025-12-12T18:06:35Z</dcterms:modified>
  <cp:category/>
  <cp:contentStatus/>
</cp:coreProperties>
</file>